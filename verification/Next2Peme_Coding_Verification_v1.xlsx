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ίες" sheetId="1" state="visible" r:id="rId3"/>
    <sheet name="LOINC_Lab" sheetId="2" state="visible" r:id="rId4"/>
    <sheet name="LOINC_Vitals" sheetId="3" state="visible" r:id="rId5"/>
    <sheet name="CPT_CDT" sheetId="4" state="visible" r:id="rId6"/>
    <sheet name="ICD10_verifi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<sst xmlns="http://schemas.openxmlformats.org/spreadsheetml/2006/main" count="535" uniqueCount="290">
  <si>
    <t xml:space="preserve">Next2MCL · Clinical Coding Verification — sign-off worksheet</t>
  </si>
  <si>
    <t xml:space="preserve">Next2Peme (PEME) · proposed LOINC / CPT / CDT + verified ICD-10 · 2026-07-15</t>
  </si>
  <si>
    <t xml:space="preserve">Σκοπός</t>
  </si>
  <si>
    <t xml:space="preserve">Κάθε proposed κώδικας που ζει σήμερα στο Next2Peme, ανά σταθμό. Ο κλινικός/coding reviewer επιβεβαιώνει ή διορθώνει. Η στήλη «Reviewer decision» έχει dropdown (Confirm / Change / Remove / N/A). Συμπλήρωσε τις κίτρινες στήλες (I–M).</t>
  </si>
  <si>
    <t xml:space="preserve">Βάθος επαλήθευσης Claude (first-pass, διαφανές)</t>
  </si>
  <si>
    <t xml:space="preserve">• ICD-10 (9): ✅ tool-validated FY2026 + HIPAA-valid — authoritative. Χρειάζεται μόνο clinical context confirm.</t>
  </si>
  <si>
    <t xml:space="preserve">• CPT/CDT (7): ✅ web-verified έναντι AMA/ADA, με συγκεκριμένα flags (views, screen-vs-diagnostic, CPT-vs-CDT).</t>
  </si>
  <si>
    <t xml:space="preserve">• LOINC (47): ⚠ first-pass plausibility ΜΟΝΟ — ΔΕΝ έγινε per-code authoritative check (δεν υπάρχει LOINC tool). Ο reviewer επιβεβαιώνει term+specimen στο επίσημο LOINC browser. Τα ⚠ είναι σημεία που χρήζουν προσοχής.</t>
  </si>
  <si>
    <t xml:space="preserve">Legend — στήλη «Claude first-pass»</t>
  </si>
  <si>
    <t xml:space="preserve">✅ = authoritative-verified   ·   ⚠ = χρειάζεται προσοχή/επιλογή   ·   (χωρίς σύμβολο) = plausible, confirm term</t>
  </si>
  <si>
    <t xml:space="preserve">Παράδειγμα συμπλήρωσης (πώς φαίνεται μια γραμμή αφού την ελέγξεις):</t>
  </si>
  <si>
    <t xml:space="preserve">Test</t>
  </si>
  <si>
    <t xml:space="preserve">Proposed</t>
  </si>
  <si>
    <t xml:space="preserve">Claude first-pass</t>
  </si>
  <si>
    <t xml:space="preserve">Reviewer decision</t>
  </si>
  <si>
    <t xml:space="preserve">Corrected</t>
  </si>
  <si>
    <t xml:space="preserve">Reviewer notes</t>
  </si>
  <si>
    <t xml:space="preserve">Chest X-ray (PA)</t>
  </si>
  <si>
    <t xml:space="preserve">71046</t>
  </si>
  <si>
    <t xml:space="preserve">⚠ 2 views; PA single→71045</t>
  </si>
  <si>
    <t xml:space="preserve">Change</t>
  </si>
  <si>
    <t xml:space="preserve">71045</t>
  </si>
  <si>
    <t xml:space="preserve">PEME is PA single view · JR</t>
  </si>
  <si>
    <t xml:space="preserve">Sign-off tracker (auto)</t>
  </si>
  <si>
    <t xml:space="preserve">Μέτρο</t>
  </si>
  <si>
    <t xml:space="preserve">Πλήθος</t>
  </si>
  <si>
    <t xml:space="preserve">Σύνολο items</t>
  </si>
  <si>
    <t xml:space="preserve">Confirmed</t>
  </si>
  <si>
    <t xml:space="preserve">Changed</t>
  </si>
  <si>
    <t xml:space="preserve">Removed</t>
  </si>
  <si>
    <t xml:space="preserve">N/A</t>
  </si>
  <si>
    <t xml:space="preserve">Εκκρεμεί (χωρίς απόφαση)</t>
  </si>
  <si>
    <t xml:space="preserve">Σημ.: το «Εκκρεμεί» πέφτει καθώς συμπληρώνονται οι αποφάσεις. Τα 9 ICD-10 είναι προ-συμπληρωμένα ως «Confirm» (ήδη validated).</t>
  </si>
  <si>
    <t xml:space="preserve">#</t>
  </si>
  <si>
    <t xml:space="preserve">Station</t>
  </si>
  <si>
    <t xml:space="preserve">Test / Measurement (Next2Peme)</t>
  </si>
  <si>
    <t xml:space="preserve">Type</t>
  </si>
  <si>
    <t xml:space="preserve">Proposed code (in app)</t>
  </si>
  <si>
    <t xml:space="preserve">Authoritative name / meaning</t>
  </si>
  <si>
    <t xml:space="preserve">Claude first-pass (triage)</t>
  </si>
  <si>
    <t xml:space="preserve">Source</t>
  </si>
  <si>
    <t xml:space="preserve">Corrected code</t>
  </si>
  <si>
    <t xml:space="preserve">Reviewer</t>
  </si>
  <si>
    <t xml:space="preserve">Date</t>
  </si>
  <si>
    <t xml:space="preserve">Serology</t>
  </si>
  <si>
    <t xml:space="preserve">Blood Type</t>
  </si>
  <si>
    <t xml:space="preserve">LOINC</t>
  </si>
  <si>
    <t xml:space="preserve">882-1</t>
  </si>
  <si>
    <t xml:space="preserve">ABO group [Type] in Blood</t>
  </si>
  <si>
    <t xml:space="preserve">882-1 = ABO group. If Rh(D) also reported, add its own LOINC (e.g. 10331-7 Rh).</t>
  </si>
  <si>
    <t xml:space="preserve">LOINC (loinc.org) — confirm in browser</t>
  </si>
  <si>
    <t xml:space="preserve">Hematology (CBC)</t>
  </si>
  <si>
    <t xml:space="preserve">Hemoglobin</t>
  </si>
  <si>
    <t xml:space="preserve">718-7</t>
  </si>
  <si>
    <t xml:space="preserve">Hemoglobin [Mass/vol] in Blood</t>
  </si>
  <si>
    <t xml:space="preserve">Standard CBC LOINC — confirm term/system in LOINC browser.</t>
  </si>
  <si>
    <t xml:space="preserve">Hematocrit</t>
  </si>
  <si>
    <t xml:space="preserve">4544-3</t>
  </si>
  <si>
    <t xml:space="preserve">Hematocrit [Vol fraction] by Automated count</t>
  </si>
  <si>
    <t xml:space="preserve">Standard — confirm method (automated vs spun).</t>
  </si>
  <si>
    <t xml:space="preserve">Red Blood Cell</t>
  </si>
  <si>
    <t xml:space="preserve">789-8</t>
  </si>
  <si>
    <t xml:space="preserve">Erythrocytes [#/vol] by Automated count</t>
  </si>
  <si>
    <t xml:space="preserve">Standard CBC — confirm.</t>
  </si>
  <si>
    <t xml:space="preserve">White Blood Cell</t>
  </si>
  <si>
    <t xml:space="preserve">6690-2</t>
  </si>
  <si>
    <t xml:space="preserve">Leukocytes [#/vol] by Automated count</t>
  </si>
  <si>
    <t xml:space="preserve">Neutrophil</t>
  </si>
  <si>
    <t xml:space="preserve">770-8</t>
  </si>
  <si>
    <t xml:space="preserve">Neutrophils/100 leukocytes</t>
  </si>
  <si>
    <t xml:space="preserve">Differential % — confirm %-vs-absolute.</t>
  </si>
  <si>
    <t xml:space="preserve">Lymphocyte</t>
  </si>
  <si>
    <t xml:space="preserve">736-9</t>
  </si>
  <si>
    <t xml:space="preserve">Lymphocytes/100 leukocytes</t>
  </si>
  <si>
    <t xml:space="preserve">Differential % — confirm.</t>
  </si>
  <si>
    <t xml:space="preserve">Monocyte</t>
  </si>
  <si>
    <t xml:space="preserve">742-7</t>
  </si>
  <si>
    <t xml:space="preserve">Monocytes/100 leukocytes</t>
  </si>
  <si>
    <t xml:space="preserve">Eosinophil</t>
  </si>
  <si>
    <t xml:space="preserve">713-8</t>
  </si>
  <si>
    <t xml:space="preserve">Eosinophils/100 leukocytes</t>
  </si>
  <si>
    <t xml:space="preserve">Platelet</t>
  </si>
  <si>
    <t xml:space="preserve">777-3</t>
  </si>
  <si>
    <t xml:space="preserve">Platelets [#/vol] by Automated count</t>
  </si>
  <si>
    <t xml:space="preserve">Chemistry</t>
  </si>
  <si>
    <t xml:space="preserve">FBS</t>
  </si>
  <si>
    <t xml:space="preserve">1558-6</t>
  </si>
  <si>
    <t xml:space="preserve">Fasting glucose [Mass/vol] in Serum/Plasma</t>
  </si>
  <si>
    <t xml:space="preserve">Confirm fasting (1558-6) vs random glucose.</t>
  </si>
  <si>
    <t xml:space="preserve">Creatinine</t>
  </si>
  <si>
    <t xml:space="preserve">2160-0</t>
  </si>
  <si>
    <t xml:space="preserve">Creatinine [Mass/vol] in Serum/Plasma</t>
  </si>
  <si>
    <t xml:space="preserve">Standard — confirm.</t>
  </si>
  <si>
    <t xml:space="preserve">Total Cholesterol</t>
  </si>
  <si>
    <t xml:space="preserve">2093-3</t>
  </si>
  <si>
    <t xml:space="preserve">Cholesterol [Mass/vol] in Serum/Plasma</t>
  </si>
  <si>
    <t xml:space="preserve">Standard lipid — confirm.</t>
  </si>
  <si>
    <t xml:space="preserve">Triglycerides</t>
  </si>
  <si>
    <t xml:space="preserve">2571-8</t>
  </si>
  <si>
    <t xml:space="preserve">Triglyceride [Mass/vol] in Serum/Plasma</t>
  </si>
  <si>
    <t xml:space="preserve">HDL</t>
  </si>
  <si>
    <t xml:space="preserve">2085-9</t>
  </si>
  <si>
    <t xml:space="preserve">Cholesterol in HDL [Mass/vol]</t>
  </si>
  <si>
    <t xml:space="preserve">LDL</t>
  </si>
  <si>
    <t xml:space="preserve">13457-7</t>
  </si>
  <si>
    <t xml:space="preserve">Cholesterol in LDL [Mass/vol] calculated</t>
  </si>
  <si>
    <t xml:space="preserve">13457-7 = calculated LDL. If direct-measured use 18262-6. Confirm method.</t>
  </si>
  <si>
    <t xml:space="preserve">VLDL</t>
  </si>
  <si>
    <t xml:space="preserve">13458-5</t>
  </si>
  <si>
    <t xml:space="preserve">Cholesterol in VLDL [Mass/vol] calculated</t>
  </si>
  <si>
    <t xml:space="preserve">Calculated — confirm.</t>
  </si>
  <si>
    <t xml:space="preserve">HbA1c</t>
  </si>
  <si>
    <t xml:space="preserve">4548-4</t>
  </si>
  <si>
    <t xml:space="preserve">Hemoglobin A1c/Hemoglobin.total in Blood</t>
  </si>
  <si>
    <t xml:space="preserve">4548-4 standard. If IFCC units, 59261-8. Confirm.</t>
  </si>
  <si>
    <t xml:space="preserve">HBsAg</t>
  </si>
  <si>
    <t xml:space="preserve">5195-3</t>
  </si>
  <si>
    <t xml:space="preserve">Hepatitis B virus surface Ag [Presence]</t>
  </si>
  <si>
    <t xml:space="preserve">Confirm qualitative presence vs titer.</t>
  </si>
  <si>
    <t xml:space="preserve">VDRL</t>
  </si>
  <si>
    <t xml:space="preserve">5292-8</t>
  </si>
  <si>
    <t xml:space="preserve">Reagin Ab [Presence] by VDRL</t>
  </si>
  <si>
    <t xml:space="preserve">Confirm VDRL (5292-8) vs RPR.</t>
  </si>
  <si>
    <t xml:space="preserve">HIV Screening</t>
  </si>
  <si>
    <t xml:space="preserve">75622-1</t>
  </si>
  <si>
    <t xml:space="preserve">HIV 1+2 Ab+Ag [Presence] in Serum/Plasma</t>
  </si>
  <si>
    <t xml:space="preserve">75622-1 = 4th-gen Ag/Ab combo. Confirm assay generation.</t>
  </si>
  <si>
    <t xml:space="preserve">Urinalysis</t>
  </si>
  <si>
    <t xml:space="preserve">Color</t>
  </si>
  <si>
    <t xml:space="preserve">5778-6</t>
  </si>
  <si>
    <t xml:space="preserve">Color of Urine</t>
  </si>
  <si>
    <t xml:space="preserve">⚠ specimen = urine. OK.</t>
  </si>
  <si>
    <t xml:space="preserve">Transparency</t>
  </si>
  <si>
    <t xml:space="preserve">5767-9</t>
  </si>
  <si>
    <t xml:space="preserve">Appearance of Urine</t>
  </si>
  <si>
    <t xml:space="preserve">Confirm 'transparency/clarity' term.</t>
  </si>
  <si>
    <t xml:space="preserve">pH</t>
  </si>
  <si>
    <t xml:space="preserve">5803-2</t>
  </si>
  <si>
    <t xml:space="preserve">pH of Urine by Test strip</t>
  </si>
  <si>
    <t xml:space="preserve">Sp. Gravity</t>
  </si>
  <si>
    <t xml:space="preserve">5811-5</t>
  </si>
  <si>
    <t xml:space="preserve">Specific gravity of Urine by Test strip</t>
  </si>
  <si>
    <t xml:space="preserve">Glucose</t>
  </si>
  <si>
    <t xml:space="preserve">5792-7</t>
  </si>
  <si>
    <t xml:space="preserve">Glucose [Mass/vol] in Urine by Test strip</t>
  </si>
  <si>
    <t xml:space="preserve">Protein</t>
  </si>
  <si>
    <t xml:space="preserve">5804-0</t>
  </si>
  <si>
    <t xml:space="preserve">Protein [Mass/vol] in Urine by Test strip</t>
  </si>
  <si>
    <t xml:space="preserve">WBC (urine)</t>
  </si>
  <si>
    <t xml:space="preserve">5821-4</t>
  </si>
  <si>
    <t xml:space="preserve">Leukocytes [#/area] in Urine sediment (microscopy)</t>
  </si>
  <si>
    <t xml:space="preserve">⚠ confirm = urine sediment microscopy (not strip esterase 5799-2).</t>
  </si>
  <si>
    <t xml:space="preserve">RBC (urine)</t>
  </si>
  <si>
    <t xml:space="preserve">5808-1</t>
  </si>
  <si>
    <t xml:space="preserve">Erythrocytes [#/area] in Urine sediment (microscopy)</t>
  </si>
  <si>
    <t xml:space="preserve">⚠ confirm = urine sediment microscopy.</t>
  </si>
  <si>
    <t xml:space="preserve">Fecalysis</t>
  </si>
  <si>
    <t xml:space="preserve">9330-4</t>
  </si>
  <si>
    <t xml:space="preserve">Color of Stool</t>
  </si>
  <si>
    <t xml:space="preserve">⚠ specimen = stool. OK (distinct from urine 5778-6).</t>
  </si>
  <si>
    <t xml:space="preserve">Consistency</t>
  </si>
  <si>
    <t xml:space="preserve">9299-1</t>
  </si>
  <si>
    <t xml:space="preserve">Consistency of Stool</t>
  </si>
  <si>
    <t xml:space="preserve">Confirm term.</t>
  </si>
  <si>
    <t xml:space="preserve">RBC (stool)</t>
  </si>
  <si>
    <t xml:space="preserve">664-3</t>
  </si>
  <si>
    <t xml:space="preserve">Erythrocytes [#/area] in Stool (microscopy)</t>
  </si>
  <si>
    <t xml:space="preserve">⚠ confirm = stool specimen.</t>
  </si>
  <si>
    <t xml:space="preserve">WBC (stool)</t>
  </si>
  <si>
    <t xml:space="preserve">622-1</t>
  </si>
  <si>
    <t xml:space="preserve">Leukocytes [#/area] in Stool (microscopy)</t>
  </si>
  <si>
    <t xml:space="preserve">Parasites</t>
  </si>
  <si>
    <t xml:space="preserve">10701-7</t>
  </si>
  <si>
    <t xml:space="preserve">Parasite identified in Stool by Light microscopy</t>
  </si>
  <si>
    <t xml:space="preserve">Confirm O&amp;P exam term.</t>
  </si>
  <si>
    <t xml:space="preserve">Drug &amp; Alcohol</t>
  </si>
  <si>
    <t xml:space="preserve">Methamphetamine</t>
  </si>
  <si>
    <t xml:space="preserve">19343-5</t>
  </si>
  <si>
    <t xml:space="preserve">Methamphetamine [Presence] in Urine</t>
  </si>
  <si>
    <t xml:space="preserve">Confirm specimen (urine) &amp; screen vs confirm.</t>
  </si>
  <si>
    <t xml:space="preserve">Tetrahydrocannabinol (THC)</t>
  </si>
  <si>
    <t xml:space="preserve">18282-6</t>
  </si>
  <si>
    <t xml:space="preserve">Cannabinoids [Presence] in Urine</t>
  </si>
  <si>
    <t xml:space="preserve">Confirm specimen &amp; cutoff.</t>
  </si>
  <si>
    <t xml:space="preserve">Alcohol (saliva)</t>
  </si>
  <si>
    <t xml:space="preserve">5643-2</t>
  </si>
  <si>
    <t xml:space="preserve">Ethanol [Mass/vol] in Saliva (oral fluid)</t>
  </si>
  <si>
    <t xml:space="preserve">⚠ confirm specimen = saliva/oral fluid.</t>
  </si>
  <si>
    <t xml:space="preserve">Vitals</t>
  </si>
  <si>
    <t xml:space="preserve">Blood pressure</t>
  </si>
  <si>
    <t xml:space="preserve">85354-9</t>
  </si>
  <si>
    <t xml:space="preserve">Blood pressure panel (systolic &amp; diastolic)</t>
  </si>
  <si>
    <t xml:space="preserve">85354-9 = panel. Components 8480-6/8462-4. Confirm panel vs components.</t>
  </si>
  <si>
    <t xml:space="preserve">Pulse rate</t>
  </si>
  <si>
    <t xml:space="preserve">8867-4</t>
  </si>
  <si>
    <t xml:space="preserve">Heart rate</t>
  </si>
  <si>
    <t xml:space="preserve">✓ standard.</t>
  </si>
  <si>
    <t xml:space="preserve">Respiratory rate</t>
  </si>
  <si>
    <t xml:space="preserve">9279-1</t>
  </si>
  <si>
    <t xml:space="preserve">Temperature</t>
  </si>
  <si>
    <t xml:space="preserve">8310-5</t>
  </si>
  <si>
    <t xml:space="preserve">Body temperature</t>
  </si>
  <si>
    <t xml:space="preserve">Height</t>
  </si>
  <si>
    <t xml:space="preserve">8302-2</t>
  </si>
  <si>
    <t xml:space="preserve">Body height</t>
  </si>
  <si>
    <t xml:space="preserve">Weight</t>
  </si>
  <si>
    <t xml:space="preserve">29463-7</t>
  </si>
  <si>
    <t xml:space="preserve">Body weight</t>
  </si>
  <si>
    <t xml:space="preserve">BMI</t>
  </si>
  <si>
    <t xml:space="preserve">39156-5</t>
  </si>
  <si>
    <t xml:space="preserve">Body mass index (BMI) [Ratio]</t>
  </si>
  <si>
    <t xml:space="preserve">Spirometry</t>
  </si>
  <si>
    <t xml:space="preserve">FVC</t>
  </si>
  <si>
    <t xml:space="preserve">19870-5</t>
  </si>
  <si>
    <t xml:space="preserve">Forced vital capacity [Volume]</t>
  </si>
  <si>
    <t xml:space="preserve">✓ standard spiro.</t>
  </si>
  <si>
    <t xml:space="preserve">FEV1</t>
  </si>
  <si>
    <t xml:space="preserve">20150-9</t>
  </si>
  <si>
    <t xml:space="preserve">FEV1 [Volume]</t>
  </si>
  <si>
    <t xml:space="preserve">FEV1/FVC</t>
  </si>
  <si>
    <t xml:space="preserve">19926-5</t>
  </si>
  <si>
    <t xml:space="preserve">FEV1/FVC ratio</t>
  </si>
  <si>
    <t xml:space="preserve">Imaging</t>
  </si>
  <si>
    <t xml:space="preserve">CPT</t>
  </si>
  <si>
    <t xml:space="preserve">Radiologic exam, chest; 2 views (PA+lateral)</t>
  </si>
  <si>
    <t xml:space="preserve">⚠ 71046 = 2 views. If PEME is PA single-view → 71045. Confirm view count.</t>
  </si>
  <si>
    <t xml:space="preserve">AMA CPT 2026 — web-verified</t>
  </si>
  <si>
    <t xml:space="preserve">Ultrasound (KUB)</t>
  </si>
  <si>
    <t xml:space="preserve">76770</t>
  </si>
  <si>
    <t xml:space="preserve">US, retroperitoneal (kidneys/aorta...), complete</t>
  </si>
  <si>
    <t xml:space="preserve">Confirm complete (76770) vs limited (76775).</t>
  </si>
  <si>
    <t xml:space="preserve">Cardio</t>
  </si>
  <si>
    <t xml:space="preserve">ECG (12-lead)</t>
  </si>
  <si>
    <t xml:space="preserve">93000</t>
  </si>
  <si>
    <t xml:space="preserve">ECG, routine, ≥12 leads, w/ interpretation &amp; report</t>
  </si>
  <si>
    <t xml:space="preserve">✓ correct for a full 12-lead w/ report.</t>
  </si>
  <si>
    <t xml:space="preserve">Specialty — Sight</t>
  </si>
  <si>
    <t xml:space="preserve">Color vision (Ishihara)</t>
  </si>
  <si>
    <t xml:space="preserve">92283</t>
  </si>
  <si>
    <t xml:space="preserve">Color vision exam, extended (e.g. anomaloscope)</t>
  </si>
  <si>
    <t xml:space="preserve">⚠ Ishihara plates = screening; 92283 is the extended test. Often bundled in eye exam — confirm.</t>
  </si>
  <si>
    <t xml:space="preserve">Specialty — Hearing</t>
  </si>
  <si>
    <t xml:space="preserve">Audiometry</t>
  </si>
  <si>
    <t xml:space="preserve">92552</t>
  </si>
  <si>
    <t xml:space="preserve">Pure tone audiometry (threshold); air only</t>
  </si>
  <si>
    <t xml:space="preserve">Audiogram w/ thresholds → OK if air-only. Confirm vs screen 92551 / air+bone 92553.</t>
  </si>
  <si>
    <t xml:space="preserve">Specialty — Dental</t>
  </si>
  <si>
    <t xml:space="preserve">Dental exam</t>
  </si>
  <si>
    <t xml:space="preserve">CDT</t>
  </si>
  <si>
    <t xml:space="preserve">D0150</t>
  </si>
  <si>
    <t xml:space="preserve">Comprehensive oral evaluation (ADA CDT)</t>
  </si>
  <si>
    <t xml:space="preserve">⚠ D0150 is CDT (dental), NOT CPT. Correct code — relabel as CDT in app.</t>
  </si>
  <si>
    <t xml:space="preserve">ADA CDT — web-verified</t>
  </si>
  <si>
    <t xml:space="preserve">Specialty — Psych</t>
  </si>
  <si>
    <t xml:space="preserve">Psychological evaluation</t>
  </si>
  <si>
    <t xml:space="preserve">96130</t>
  </si>
  <si>
    <t xml:space="preserve">Psychological testing evaluation, first 60 min</t>
  </si>
  <si>
    <t xml:space="preserve">⚠ 96130 = formal testing battery. A brief PEME screen ≈ 96127. Confirm scope.</t>
  </si>
  <si>
    <t xml:space="preserve">Findings/encounter</t>
  </si>
  <si>
    <t xml:space="preserve">PEME encounter code (clean or with findings)</t>
  </si>
  <si>
    <t xml:space="preserve">ICD-10-CM</t>
  </si>
  <si>
    <t xml:space="preserve">Z02.1</t>
  </si>
  <si>
    <t xml:space="preserve">Encounter for pre-employment examination</t>
  </si>
  <si>
    <t xml:space="preserve">✅ Validated FY2026, HIPAA-valid (ICD-10-CM tool 2026-07-15)</t>
  </si>
  <si>
    <t xml:space="preserve">CMS ICD-10-CM FY2026</t>
  </si>
  <si>
    <t xml:space="preserve">Confirm</t>
  </si>
  <si>
    <t xml:space="preserve">Clean panel / fit result</t>
  </si>
  <si>
    <t xml:space="preserve">Z00.00</t>
  </si>
  <si>
    <t xml:space="preserve">Encounter for general adult medical exam w/o abnormal findings</t>
  </si>
  <si>
    <t xml:space="preserve">Elevated FBS/HbA1c finding</t>
  </si>
  <si>
    <t xml:space="preserve">E11.65</t>
  </si>
  <si>
    <t xml:space="preserve">Type 2 diabetes mellitus with hyperglycemia</t>
  </si>
  <si>
    <t xml:space="preserve">Impaired fasting glucose finding</t>
  </si>
  <si>
    <t xml:space="preserve">R73.09</t>
  </si>
  <si>
    <t xml:space="preserve">Other abnormal glucose</t>
  </si>
  <si>
    <t xml:space="preserve">Elevated BP finding</t>
  </si>
  <si>
    <t xml:space="preserve">I10</t>
  </si>
  <si>
    <t xml:space="preserve">Essential (primary) hypertension</t>
  </si>
  <si>
    <t xml:space="preserve">Elevated lipids finding</t>
  </si>
  <si>
    <t xml:space="preserve">E78.5</t>
  </si>
  <si>
    <t xml:space="preserve">Hyperlipidemia, unspecified</t>
  </si>
  <si>
    <t xml:space="preserve">Reduced eGFR finding</t>
  </si>
  <si>
    <t xml:space="preserve">N18.2</t>
  </si>
  <si>
    <t xml:space="preserve">Chronic kidney disease, stage 2 (mild)</t>
  </si>
  <si>
    <t xml:space="preserve">BMI finding</t>
  </si>
  <si>
    <t xml:space="preserve">E66.3</t>
  </si>
  <si>
    <t xml:space="preserve">Overweight</t>
  </si>
  <si>
    <t xml:space="preserve">Nonspecific abnormal chemistry</t>
  </si>
  <si>
    <t xml:space="preserve">R79.89</t>
  </si>
  <si>
    <t xml:space="preserve">Other specified abnormal findings of blood 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</si>
</sst>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6A3E8C"/>
      <name val="Arial"/>
      <family val="0"/>
      <charset val="1"/>
    </font>
    <font>
      <sz val="10"/>
      <color rgb="FF1F2A37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9"/>
      <color rgb="FF7A72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B4FA8"/>
        <bgColor rgb="FF6A3E8C"/>
      </patternFill>
    </fill>
    <fill>
      <patternFill patternType="solid">
        <fgColor rgb="FFFFF9E6"/>
        <bgColor rgb="FFFBF0DE"/>
      </patternFill>
    </fill>
    <fill>
      <patternFill patternType="solid">
        <fgColor rgb="FFEDE6F3"/>
        <bgColor rgb="FFE5F2EA"/>
      </patternFill>
    </fill>
    <fill>
      <patternFill patternType="solid">
        <fgColor rgb="FFFBF0DE"/>
        <bgColor rgb="FFFFF9E6"/>
      </patternFill>
    </fill>
    <fill>
      <patternFill patternType="solid">
        <fgColor rgb="FFE5F2EA"/>
        <bgColor rgb="FFEDE6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7A7266"/>
      <rgbColor rgb="FF9999FF"/>
      <rgbColor rgb="FF6A3E8C"/>
      <rgbColor rgb="FFFFF9E6"/>
      <rgbColor rgb="FFE5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6F3"/>
      <rgbColor rgb="FFCCFFCC"/>
      <rgbColor rgb="FFFBF0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4FA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18"/>
  </cols>
  <sheetData>
    <row r="2" customFormat="false" ht="50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68.65" hidden="false" customHeight="false" outlineLevel="0" collapsed="false">
      <c r="B6" s="2" t="s">
        <v>3</v>
      </c>
    </row>
    <row r="8" customFormat="false" ht="26.85" hidden="false" customHeight="false" outlineLevel="0" collapsed="false">
      <c r="B8" s="3" t="s">
        <v>4</v>
      </c>
    </row>
    <row r="9" customFormat="false" ht="35.05" hidden="false" customHeight="false" outlineLevel="0" collapsed="false">
      <c r="B9" s="2" t="s">
        <v>5</v>
      </c>
    </row>
    <row r="10" customFormat="false" ht="35.05" hidden="false" customHeight="false" outlineLevel="0" collapsed="false">
      <c r="B10" s="2" t="s">
        <v>6</v>
      </c>
    </row>
    <row r="11" customFormat="false" ht="57.45" hidden="false" customHeight="false" outlineLevel="0" collapsed="false">
      <c r="B11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35.05" hidden="false" customHeight="false" outlineLevel="0" collapsed="false">
      <c r="B14" s="2" t="s">
        <v>9</v>
      </c>
    </row>
    <row r="16" customFormat="false" ht="23.85" hidden="false" customHeight="false" outlineLevel="0" collapsed="false">
      <c r="B16" s="4" t="s">
        <v>10</v>
      </c>
    </row>
    <row r="18" customFormat="false" ht="22.35" hidden="false" customHeight="false" outlineLevel="0" collapsed="false">
      <c r="B18" s="5" t="s">
        <v>11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</row>
    <row r="19" customFormat="false" ht="27.75" hidden="false" customHeight="true" outlineLevel="0" collapsed="false">
      <c r="B19" s="6" t="s">
        <v>17</v>
      </c>
      <c r="C19" s="6" t="s">
        <v>18</v>
      </c>
      <c r="D19" s="6" t="s">
        <v>19</v>
      </c>
      <c r="E19" s="7" t="s">
        <v>20</v>
      </c>
      <c r="F19" s="7" t="s">
        <v>21</v>
      </c>
      <c r="G19" s="7" t="s">
        <v>22</v>
      </c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B22" s="8" t="s">
        <v>24</v>
      </c>
      <c r="C22" s="9" t="s">
        <v>25</v>
      </c>
    </row>
    <row r="23" customFormat="false" ht="15" hidden="false" customHeight="false" outlineLevel="0" collapsed="false">
      <c r="B23" s="10" t="s">
        <v>26</v>
      </c>
      <c r="C23" s="11" t="n">
        <v>63</v>
      </c>
    </row>
    <row r="24" customFormat="false" ht="15" hidden="false" customHeight="false" outlineLevel="0" collapsed="false">
      <c r="B24" s="10" t="s">
        <v>27</v>
      </c>
      <c r="C24" s="11" t="n">
        <f aca="false">COUNTIF(LOINC_Lab!I2:I38,"Confirm")+COUNTIF(LOINC_Vitals!I2:I11,"Confirm")+COUNTIF(CPT_CDT!I2:I8,"Confirm")+COUNTIF(ICD10_verified!I2:I10,"Confirm")</f>
        <v>9</v>
      </c>
    </row>
    <row r="25" customFormat="false" ht="15" hidden="false" customHeight="false" outlineLevel="0" collapsed="false">
      <c r="B25" s="10" t="s">
        <v>28</v>
      </c>
      <c r="C25" s="11" t="n">
        <f aca="false">COUNTIF(LOINC_Lab!I2:I38,"Change")+COUNTIF(LOINC_Vitals!I2:I11,"Change")+COUNTIF(CPT_CDT!I2:I8,"Change")+COUNTIF(ICD10_verified!I2:I10,"Change")</f>
        <v>0</v>
      </c>
    </row>
    <row r="26" customFormat="false" ht="15" hidden="false" customHeight="false" outlineLevel="0" collapsed="false">
      <c r="B26" s="10" t="s">
        <v>29</v>
      </c>
      <c r="C26" s="11" t="n">
        <f aca="false">COUNTIF(LOINC_Lab!I2:I38,"Remove")+COUNTIF(LOINC_Vitals!I2:I11,"Remove")+COUNTIF(CPT_CDT!I2:I8,"Remove")+COUNTIF(ICD10_verified!I2:I10,"Remove")</f>
        <v>0</v>
      </c>
    </row>
    <row r="27" customFormat="false" ht="15" hidden="false" customHeight="false" outlineLevel="0" collapsed="false">
      <c r="B27" s="10" t="s">
        <v>30</v>
      </c>
      <c r="C27" s="11" t="n">
        <f aca="false">COUNTIF(LOINC_Lab!I2:I38,"N/A")+COUNTIF(LOINC_Vitals!I2:I11,"N/A")+COUNTIF(CPT_CDT!I2:I8,"N/A")+COUNTIF(ICD10_verified!I2:I10,"N/A")</f>
        <v>0</v>
      </c>
    </row>
    <row r="28" customFormat="false" ht="15" hidden="false" customHeight="false" outlineLevel="0" collapsed="false">
      <c r="B28" s="10" t="s">
        <v>31</v>
      </c>
      <c r="C28" s="11" t="n">
        <f aca="false">C23-(C24+C25+C26+C27)</f>
        <v>54</v>
      </c>
    </row>
    <row r="29" customFormat="false" ht="32.8" hidden="false" customHeight="false" outlineLevel="0" collapsed="false">
      <c r="B29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39.75" hidden="false" customHeight="true" outlineLevel="0" collapsed="false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14</v>
      </c>
      <c r="J1" s="13" t="s">
        <v>41</v>
      </c>
      <c r="K1" s="13" t="s">
        <v>16</v>
      </c>
      <c r="L1" s="13" t="s">
        <v>42</v>
      </c>
      <c r="M1" s="13" t="s">
        <v>43</v>
      </c>
    </row>
    <row r="2" customFormat="false" ht="30" hidden="false" customHeight="true" outlineLevel="0" collapsed="false">
      <c r="A2" s="14" t="n">
        <v>1</v>
      </c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4" t="s">
        <v>50</v>
      </c>
      <c r="I2" s="15"/>
      <c r="J2" s="15"/>
      <c r="K2" s="15"/>
      <c r="L2" s="15"/>
      <c r="M2" s="15"/>
    </row>
    <row r="3" customFormat="false" ht="30" hidden="false" customHeight="true" outlineLevel="0" collapsed="false">
      <c r="A3" s="14" t="n">
        <v>2</v>
      </c>
      <c r="B3" s="14" t="s">
        <v>51</v>
      </c>
      <c r="C3" s="14" t="s">
        <v>52</v>
      </c>
      <c r="D3" s="14" t="s">
        <v>46</v>
      </c>
      <c r="E3" s="14" t="s">
        <v>53</v>
      </c>
      <c r="F3" s="14" t="s">
        <v>54</v>
      </c>
      <c r="G3" s="14" t="s">
        <v>55</v>
      </c>
      <c r="H3" s="14" t="s">
        <v>50</v>
      </c>
      <c r="I3" s="15"/>
      <c r="J3" s="15"/>
      <c r="K3" s="15"/>
      <c r="L3" s="15"/>
      <c r="M3" s="15"/>
    </row>
    <row r="4" customFormat="false" ht="30" hidden="false" customHeight="true" outlineLevel="0" collapsed="false">
      <c r="A4" s="14" t="n">
        <v>3</v>
      </c>
      <c r="B4" s="14" t="s">
        <v>51</v>
      </c>
      <c r="C4" s="14" t="s">
        <v>56</v>
      </c>
      <c r="D4" s="14" t="s">
        <v>46</v>
      </c>
      <c r="E4" s="14" t="s">
        <v>57</v>
      </c>
      <c r="F4" s="14" t="s">
        <v>58</v>
      </c>
      <c r="G4" s="14" t="s">
        <v>59</v>
      </c>
      <c r="H4" s="14" t="s">
        <v>50</v>
      </c>
      <c r="I4" s="15"/>
      <c r="J4" s="15"/>
      <c r="K4" s="15"/>
      <c r="L4" s="15"/>
      <c r="M4" s="15"/>
    </row>
    <row r="5" customFormat="false" ht="30" hidden="false" customHeight="true" outlineLevel="0" collapsed="false">
      <c r="A5" s="14" t="n">
        <v>4</v>
      </c>
      <c r="B5" s="14" t="s">
        <v>51</v>
      </c>
      <c r="C5" s="14" t="s">
        <v>60</v>
      </c>
      <c r="D5" s="14" t="s">
        <v>46</v>
      </c>
      <c r="E5" s="14" t="s">
        <v>61</v>
      </c>
      <c r="F5" s="14" t="s">
        <v>62</v>
      </c>
      <c r="G5" s="14" t="s">
        <v>63</v>
      </c>
      <c r="H5" s="14" t="s">
        <v>50</v>
      </c>
      <c r="I5" s="15"/>
      <c r="J5" s="15"/>
      <c r="K5" s="15"/>
      <c r="L5" s="15"/>
      <c r="M5" s="15"/>
    </row>
    <row r="6" customFormat="false" ht="30" hidden="false" customHeight="true" outlineLevel="0" collapsed="false">
      <c r="A6" s="14" t="n">
        <v>5</v>
      </c>
      <c r="B6" s="14" t="s">
        <v>51</v>
      </c>
      <c r="C6" s="14" t="s">
        <v>64</v>
      </c>
      <c r="D6" s="14" t="s">
        <v>46</v>
      </c>
      <c r="E6" s="14" t="s">
        <v>65</v>
      </c>
      <c r="F6" s="14" t="s">
        <v>66</v>
      </c>
      <c r="G6" s="14" t="s">
        <v>63</v>
      </c>
      <c r="H6" s="14" t="s">
        <v>50</v>
      </c>
      <c r="I6" s="15"/>
      <c r="J6" s="15"/>
      <c r="K6" s="15"/>
      <c r="L6" s="15"/>
      <c r="M6" s="15"/>
    </row>
    <row r="7" customFormat="false" ht="30" hidden="false" customHeight="true" outlineLevel="0" collapsed="false">
      <c r="A7" s="14" t="n">
        <v>6</v>
      </c>
      <c r="B7" s="14" t="s">
        <v>51</v>
      </c>
      <c r="C7" s="14" t="s">
        <v>67</v>
      </c>
      <c r="D7" s="14" t="s">
        <v>46</v>
      </c>
      <c r="E7" s="14" t="s">
        <v>68</v>
      </c>
      <c r="F7" s="14" t="s">
        <v>69</v>
      </c>
      <c r="G7" s="14" t="s">
        <v>70</v>
      </c>
      <c r="H7" s="14" t="s">
        <v>50</v>
      </c>
      <c r="I7" s="15"/>
      <c r="J7" s="15"/>
      <c r="K7" s="15"/>
      <c r="L7" s="15"/>
      <c r="M7" s="15"/>
    </row>
    <row r="8" customFormat="false" ht="30" hidden="false" customHeight="true" outlineLevel="0" collapsed="false">
      <c r="A8" s="14" t="n">
        <v>7</v>
      </c>
      <c r="B8" s="14" t="s">
        <v>51</v>
      </c>
      <c r="C8" s="14" t="s">
        <v>71</v>
      </c>
      <c r="D8" s="14" t="s">
        <v>46</v>
      </c>
      <c r="E8" s="14" t="s">
        <v>72</v>
      </c>
      <c r="F8" s="14" t="s">
        <v>73</v>
      </c>
      <c r="G8" s="14" t="s">
        <v>74</v>
      </c>
      <c r="H8" s="14" t="s">
        <v>50</v>
      </c>
      <c r="I8" s="15"/>
      <c r="J8" s="15"/>
      <c r="K8" s="15"/>
      <c r="L8" s="15"/>
      <c r="M8" s="15"/>
    </row>
    <row r="9" customFormat="false" ht="30" hidden="false" customHeight="true" outlineLevel="0" collapsed="false">
      <c r="A9" s="14" t="n">
        <v>8</v>
      </c>
      <c r="B9" s="14" t="s">
        <v>51</v>
      </c>
      <c r="C9" s="14" t="s">
        <v>75</v>
      </c>
      <c r="D9" s="14" t="s">
        <v>46</v>
      </c>
      <c r="E9" s="14" t="s">
        <v>76</v>
      </c>
      <c r="F9" s="14" t="s">
        <v>77</v>
      </c>
      <c r="G9" s="14" t="s">
        <v>74</v>
      </c>
      <c r="H9" s="14" t="s">
        <v>50</v>
      </c>
      <c r="I9" s="15"/>
      <c r="J9" s="15"/>
      <c r="K9" s="15"/>
      <c r="L9" s="15"/>
      <c r="M9" s="15"/>
    </row>
    <row r="10" customFormat="false" ht="30" hidden="false" customHeight="true" outlineLevel="0" collapsed="false">
      <c r="A10" s="14" t="n">
        <v>9</v>
      </c>
      <c r="B10" s="14" t="s">
        <v>51</v>
      </c>
      <c r="C10" s="14" t="s">
        <v>78</v>
      </c>
      <c r="D10" s="14" t="s">
        <v>46</v>
      </c>
      <c r="E10" s="14" t="s">
        <v>79</v>
      </c>
      <c r="F10" s="14" t="s">
        <v>80</v>
      </c>
      <c r="G10" s="14" t="s">
        <v>74</v>
      </c>
      <c r="H10" s="14" t="s">
        <v>50</v>
      </c>
      <c r="I10" s="15"/>
      <c r="J10" s="15"/>
      <c r="K10" s="15"/>
      <c r="L10" s="15"/>
      <c r="M10" s="15"/>
    </row>
    <row r="11" customFormat="false" ht="30" hidden="false" customHeight="true" outlineLevel="0" collapsed="false">
      <c r="A11" s="14" t="n">
        <v>10</v>
      </c>
      <c r="B11" s="14" t="s">
        <v>51</v>
      </c>
      <c r="C11" s="14" t="s">
        <v>81</v>
      </c>
      <c r="D11" s="14" t="s">
        <v>46</v>
      </c>
      <c r="E11" s="14" t="s">
        <v>82</v>
      </c>
      <c r="F11" s="14" t="s">
        <v>83</v>
      </c>
      <c r="G11" s="14" t="s">
        <v>63</v>
      </c>
      <c r="H11" s="14" t="s">
        <v>50</v>
      </c>
      <c r="I11" s="15"/>
      <c r="J11" s="15"/>
      <c r="K11" s="15"/>
      <c r="L11" s="15"/>
      <c r="M11" s="15"/>
    </row>
    <row r="12" customFormat="false" ht="30" hidden="false" customHeight="true" outlineLevel="0" collapsed="false">
      <c r="A12" s="14" t="n">
        <v>11</v>
      </c>
      <c r="B12" s="14" t="s">
        <v>84</v>
      </c>
      <c r="C12" s="14" t="s">
        <v>85</v>
      </c>
      <c r="D12" s="14" t="s">
        <v>46</v>
      </c>
      <c r="E12" s="14" t="s">
        <v>86</v>
      </c>
      <c r="F12" s="14" t="s">
        <v>87</v>
      </c>
      <c r="G12" s="14" t="s">
        <v>88</v>
      </c>
      <c r="H12" s="14" t="s">
        <v>50</v>
      </c>
      <c r="I12" s="15"/>
      <c r="J12" s="15"/>
      <c r="K12" s="15"/>
      <c r="L12" s="15"/>
      <c r="M12" s="15"/>
    </row>
    <row r="13" customFormat="false" ht="30" hidden="false" customHeight="true" outlineLevel="0" collapsed="false">
      <c r="A13" s="14" t="n">
        <v>12</v>
      </c>
      <c r="B13" s="14" t="s">
        <v>84</v>
      </c>
      <c r="C13" s="14" t="s">
        <v>89</v>
      </c>
      <c r="D13" s="14" t="s">
        <v>46</v>
      </c>
      <c r="E13" s="14" t="s">
        <v>90</v>
      </c>
      <c r="F13" s="14" t="s">
        <v>91</v>
      </c>
      <c r="G13" s="14" t="s">
        <v>92</v>
      </c>
      <c r="H13" s="14" t="s">
        <v>50</v>
      </c>
      <c r="I13" s="15"/>
      <c r="J13" s="15"/>
      <c r="K13" s="15"/>
      <c r="L13" s="15"/>
      <c r="M13" s="15"/>
    </row>
    <row r="14" customFormat="false" ht="30" hidden="false" customHeight="true" outlineLevel="0" collapsed="false">
      <c r="A14" s="14" t="n">
        <v>13</v>
      </c>
      <c r="B14" s="14" t="s">
        <v>84</v>
      </c>
      <c r="C14" s="14" t="s">
        <v>93</v>
      </c>
      <c r="D14" s="14" t="s">
        <v>46</v>
      </c>
      <c r="E14" s="14" t="s">
        <v>94</v>
      </c>
      <c r="F14" s="14" t="s">
        <v>95</v>
      </c>
      <c r="G14" s="14" t="s">
        <v>96</v>
      </c>
      <c r="H14" s="14" t="s">
        <v>50</v>
      </c>
      <c r="I14" s="15"/>
      <c r="J14" s="15"/>
      <c r="K14" s="15"/>
      <c r="L14" s="15"/>
      <c r="M14" s="15"/>
    </row>
    <row r="15" customFormat="false" ht="30" hidden="false" customHeight="true" outlineLevel="0" collapsed="false">
      <c r="A15" s="14" t="n">
        <v>14</v>
      </c>
      <c r="B15" s="14" t="s">
        <v>84</v>
      </c>
      <c r="C15" s="14" t="s">
        <v>97</v>
      </c>
      <c r="D15" s="14" t="s">
        <v>46</v>
      </c>
      <c r="E15" s="14" t="s">
        <v>98</v>
      </c>
      <c r="F15" s="14" t="s">
        <v>99</v>
      </c>
      <c r="G15" s="14" t="s">
        <v>96</v>
      </c>
      <c r="H15" s="14" t="s">
        <v>50</v>
      </c>
      <c r="I15" s="15"/>
      <c r="J15" s="15"/>
      <c r="K15" s="15"/>
      <c r="L15" s="15"/>
      <c r="M15" s="15"/>
    </row>
    <row r="16" customFormat="false" ht="30" hidden="false" customHeight="true" outlineLevel="0" collapsed="false">
      <c r="A16" s="14" t="n">
        <v>15</v>
      </c>
      <c r="B16" s="14" t="s">
        <v>84</v>
      </c>
      <c r="C16" s="14" t="s">
        <v>100</v>
      </c>
      <c r="D16" s="14" t="s">
        <v>46</v>
      </c>
      <c r="E16" s="14" t="s">
        <v>101</v>
      </c>
      <c r="F16" s="14" t="s">
        <v>102</v>
      </c>
      <c r="G16" s="14" t="s">
        <v>96</v>
      </c>
      <c r="H16" s="14" t="s">
        <v>50</v>
      </c>
      <c r="I16" s="15"/>
      <c r="J16" s="15"/>
      <c r="K16" s="15"/>
      <c r="L16" s="15"/>
      <c r="M16" s="15"/>
    </row>
    <row r="17" customFormat="false" ht="30" hidden="false" customHeight="true" outlineLevel="0" collapsed="false">
      <c r="A17" s="14" t="n">
        <v>16</v>
      </c>
      <c r="B17" s="14" t="s">
        <v>84</v>
      </c>
      <c r="C17" s="14" t="s">
        <v>103</v>
      </c>
      <c r="D17" s="14" t="s">
        <v>46</v>
      </c>
      <c r="E17" s="14" t="s">
        <v>104</v>
      </c>
      <c r="F17" s="14" t="s">
        <v>105</v>
      </c>
      <c r="G17" s="14" t="s">
        <v>106</v>
      </c>
      <c r="H17" s="14" t="s">
        <v>50</v>
      </c>
      <c r="I17" s="15"/>
      <c r="J17" s="15"/>
      <c r="K17" s="15"/>
      <c r="L17" s="15"/>
      <c r="M17" s="15"/>
    </row>
    <row r="18" customFormat="false" ht="30" hidden="false" customHeight="true" outlineLevel="0" collapsed="false">
      <c r="A18" s="14" t="n">
        <v>17</v>
      </c>
      <c r="B18" s="14" t="s">
        <v>84</v>
      </c>
      <c r="C18" s="14" t="s">
        <v>107</v>
      </c>
      <c r="D18" s="14" t="s">
        <v>46</v>
      </c>
      <c r="E18" s="14" t="s">
        <v>108</v>
      </c>
      <c r="F18" s="14" t="s">
        <v>109</v>
      </c>
      <c r="G18" s="14" t="s">
        <v>110</v>
      </c>
      <c r="H18" s="14" t="s">
        <v>50</v>
      </c>
      <c r="I18" s="15"/>
      <c r="J18" s="15"/>
      <c r="K18" s="15"/>
      <c r="L18" s="15"/>
      <c r="M18" s="15"/>
    </row>
    <row r="19" customFormat="false" ht="30" hidden="false" customHeight="true" outlineLevel="0" collapsed="false">
      <c r="A19" s="14" t="n">
        <v>18</v>
      </c>
      <c r="B19" s="14" t="s">
        <v>84</v>
      </c>
      <c r="C19" s="14" t="s">
        <v>111</v>
      </c>
      <c r="D19" s="14" t="s">
        <v>46</v>
      </c>
      <c r="E19" s="14" t="s">
        <v>112</v>
      </c>
      <c r="F19" s="14" t="s">
        <v>113</v>
      </c>
      <c r="G19" s="14" t="s">
        <v>114</v>
      </c>
      <c r="H19" s="14" t="s">
        <v>50</v>
      </c>
      <c r="I19" s="15"/>
      <c r="J19" s="15"/>
      <c r="K19" s="15"/>
      <c r="L19" s="15"/>
      <c r="M19" s="15"/>
    </row>
    <row r="20" customFormat="false" ht="30" hidden="false" customHeight="true" outlineLevel="0" collapsed="false">
      <c r="A20" s="14" t="n">
        <v>19</v>
      </c>
      <c r="B20" s="14" t="s">
        <v>44</v>
      </c>
      <c r="C20" s="14" t="s">
        <v>115</v>
      </c>
      <c r="D20" s="14" t="s">
        <v>46</v>
      </c>
      <c r="E20" s="14" t="s">
        <v>116</v>
      </c>
      <c r="F20" s="14" t="s">
        <v>117</v>
      </c>
      <c r="G20" s="14" t="s">
        <v>118</v>
      </c>
      <c r="H20" s="14" t="s">
        <v>50</v>
      </c>
      <c r="I20" s="15"/>
      <c r="J20" s="15"/>
      <c r="K20" s="15"/>
      <c r="L20" s="15"/>
      <c r="M20" s="15"/>
    </row>
    <row r="21" customFormat="false" ht="30" hidden="false" customHeight="true" outlineLevel="0" collapsed="false">
      <c r="A21" s="14" t="n">
        <v>20</v>
      </c>
      <c r="B21" s="14" t="s">
        <v>44</v>
      </c>
      <c r="C21" s="14" t="s">
        <v>119</v>
      </c>
      <c r="D21" s="14" t="s">
        <v>46</v>
      </c>
      <c r="E21" s="14" t="s">
        <v>120</v>
      </c>
      <c r="F21" s="14" t="s">
        <v>121</v>
      </c>
      <c r="G21" s="14" t="s">
        <v>122</v>
      </c>
      <c r="H21" s="14" t="s">
        <v>50</v>
      </c>
      <c r="I21" s="15"/>
      <c r="J21" s="15"/>
      <c r="K21" s="15"/>
      <c r="L21" s="15"/>
      <c r="M21" s="15"/>
    </row>
    <row r="22" customFormat="false" ht="30" hidden="false" customHeight="true" outlineLevel="0" collapsed="false">
      <c r="A22" s="14" t="n">
        <v>21</v>
      </c>
      <c r="B22" s="14" t="s">
        <v>44</v>
      </c>
      <c r="C22" s="14" t="s">
        <v>123</v>
      </c>
      <c r="D22" s="14" t="s">
        <v>46</v>
      </c>
      <c r="E22" s="14" t="s">
        <v>124</v>
      </c>
      <c r="F22" s="14" t="s">
        <v>125</v>
      </c>
      <c r="G22" s="14" t="s">
        <v>126</v>
      </c>
      <c r="H22" s="14" t="s">
        <v>50</v>
      </c>
      <c r="I22" s="15"/>
      <c r="J22" s="15"/>
      <c r="K22" s="15"/>
      <c r="L22" s="15"/>
      <c r="M22" s="15"/>
    </row>
    <row r="23" customFormat="false" ht="30" hidden="false" customHeight="true" outlineLevel="0" collapsed="false">
      <c r="A23" s="14" t="n">
        <v>22</v>
      </c>
      <c r="B23" s="14" t="s">
        <v>127</v>
      </c>
      <c r="C23" s="14" t="s">
        <v>128</v>
      </c>
      <c r="D23" s="14" t="s">
        <v>46</v>
      </c>
      <c r="E23" s="14" t="s">
        <v>129</v>
      </c>
      <c r="F23" s="14" t="s">
        <v>130</v>
      </c>
      <c r="G23" s="16" t="s">
        <v>131</v>
      </c>
      <c r="H23" s="14" t="s">
        <v>50</v>
      </c>
      <c r="I23" s="15"/>
      <c r="J23" s="15"/>
      <c r="K23" s="15"/>
      <c r="L23" s="15"/>
      <c r="M23" s="15"/>
    </row>
    <row r="24" customFormat="false" ht="30" hidden="false" customHeight="true" outlineLevel="0" collapsed="false">
      <c r="A24" s="14" t="n">
        <v>23</v>
      </c>
      <c r="B24" s="14" t="s">
        <v>127</v>
      </c>
      <c r="C24" s="14" t="s">
        <v>132</v>
      </c>
      <c r="D24" s="14" t="s">
        <v>46</v>
      </c>
      <c r="E24" s="14" t="s">
        <v>133</v>
      </c>
      <c r="F24" s="14" t="s">
        <v>134</v>
      </c>
      <c r="G24" s="14" t="s">
        <v>135</v>
      </c>
      <c r="H24" s="14" t="s">
        <v>50</v>
      </c>
      <c r="I24" s="15"/>
      <c r="J24" s="15"/>
      <c r="K24" s="15"/>
      <c r="L24" s="15"/>
      <c r="M24" s="15"/>
    </row>
    <row r="25" customFormat="false" ht="30" hidden="false" customHeight="true" outlineLevel="0" collapsed="false">
      <c r="A25" s="14" t="n">
        <v>24</v>
      </c>
      <c r="B25" s="14" t="s">
        <v>127</v>
      </c>
      <c r="C25" s="14" t="s">
        <v>136</v>
      </c>
      <c r="D25" s="14" t="s">
        <v>46</v>
      </c>
      <c r="E25" s="14" t="s">
        <v>137</v>
      </c>
      <c r="F25" s="14" t="s">
        <v>138</v>
      </c>
      <c r="G25" s="14" t="s">
        <v>92</v>
      </c>
      <c r="H25" s="14" t="s">
        <v>50</v>
      </c>
      <c r="I25" s="15"/>
      <c r="J25" s="15"/>
      <c r="K25" s="15"/>
      <c r="L25" s="15"/>
      <c r="M25" s="15"/>
    </row>
    <row r="26" customFormat="false" ht="30" hidden="false" customHeight="true" outlineLevel="0" collapsed="false">
      <c r="A26" s="14" t="n">
        <v>25</v>
      </c>
      <c r="B26" s="14" t="s">
        <v>127</v>
      </c>
      <c r="C26" s="14" t="s">
        <v>139</v>
      </c>
      <c r="D26" s="14" t="s">
        <v>46</v>
      </c>
      <c r="E26" s="14" t="s">
        <v>140</v>
      </c>
      <c r="F26" s="14" t="s">
        <v>141</v>
      </c>
      <c r="G26" s="14" t="s">
        <v>92</v>
      </c>
      <c r="H26" s="14" t="s">
        <v>50</v>
      </c>
      <c r="I26" s="15"/>
      <c r="J26" s="15"/>
      <c r="K26" s="15"/>
      <c r="L26" s="15"/>
      <c r="M26" s="15"/>
    </row>
    <row r="27" customFormat="false" ht="30" hidden="false" customHeight="true" outlineLevel="0" collapsed="false">
      <c r="A27" s="14" t="n">
        <v>26</v>
      </c>
      <c r="B27" s="14" t="s">
        <v>127</v>
      </c>
      <c r="C27" s="14" t="s">
        <v>142</v>
      </c>
      <c r="D27" s="14" t="s">
        <v>46</v>
      </c>
      <c r="E27" s="14" t="s">
        <v>143</v>
      </c>
      <c r="F27" s="14" t="s">
        <v>144</v>
      </c>
      <c r="G27" s="14" t="s">
        <v>92</v>
      </c>
      <c r="H27" s="14" t="s">
        <v>50</v>
      </c>
      <c r="I27" s="15"/>
      <c r="J27" s="15"/>
      <c r="K27" s="15"/>
      <c r="L27" s="15"/>
      <c r="M27" s="15"/>
    </row>
    <row r="28" customFormat="false" ht="30" hidden="false" customHeight="true" outlineLevel="0" collapsed="false">
      <c r="A28" s="14" t="n">
        <v>27</v>
      </c>
      <c r="B28" s="14" t="s">
        <v>127</v>
      </c>
      <c r="C28" s="14" t="s">
        <v>145</v>
      </c>
      <c r="D28" s="14" t="s">
        <v>46</v>
      </c>
      <c r="E28" s="14" t="s">
        <v>146</v>
      </c>
      <c r="F28" s="14" t="s">
        <v>147</v>
      </c>
      <c r="G28" s="14" t="s">
        <v>92</v>
      </c>
      <c r="H28" s="14" t="s">
        <v>50</v>
      </c>
      <c r="I28" s="15"/>
      <c r="J28" s="15"/>
      <c r="K28" s="15"/>
      <c r="L28" s="15"/>
      <c r="M28" s="15"/>
    </row>
    <row r="29" customFormat="false" ht="30" hidden="false" customHeight="true" outlineLevel="0" collapsed="false">
      <c r="A29" s="14" t="n">
        <v>28</v>
      </c>
      <c r="B29" s="14" t="s">
        <v>127</v>
      </c>
      <c r="C29" s="14" t="s">
        <v>148</v>
      </c>
      <c r="D29" s="14" t="s">
        <v>46</v>
      </c>
      <c r="E29" s="14" t="s">
        <v>149</v>
      </c>
      <c r="F29" s="14" t="s">
        <v>150</v>
      </c>
      <c r="G29" s="16" t="s">
        <v>151</v>
      </c>
      <c r="H29" s="14" t="s">
        <v>50</v>
      </c>
      <c r="I29" s="15"/>
      <c r="J29" s="15"/>
      <c r="K29" s="15"/>
      <c r="L29" s="15"/>
      <c r="M29" s="15"/>
    </row>
    <row r="30" customFormat="false" ht="30" hidden="false" customHeight="true" outlineLevel="0" collapsed="false">
      <c r="A30" s="14" t="n">
        <v>29</v>
      </c>
      <c r="B30" s="14" t="s">
        <v>127</v>
      </c>
      <c r="C30" s="14" t="s">
        <v>152</v>
      </c>
      <c r="D30" s="14" t="s">
        <v>46</v>
      </c>
      <c r="E30" s="14" t="s">
        <v>153</v>
      </c>
      <c r="F30" s="14" t="s">
        <v>154</v>
      </c>
      <c r="G30" s="16" t="s">
        <v>155</v>
      </c>
      <c r="H30" s="14" t="s">
        <v>50</v>
      </c>
      <c r="I30" s="15"/>
      <c r="J30" s="15"/>
      <c r="K30" s="15"/>
      <c r="L30" s="15"/>
      <c r="M30" s="15"/>
    </row>
    <row r="31" customFormat="false" ht="30" hidden="false" customHeight="true" outlineLevel="0" collapsed="false">
      <c r="A31" s="14" t="n">
        <v>30</v>
      </c>
      <c r="B31" s="14" t="s">
        <v>156</v>
      </c>
      <c r="C31" s="14" t="s">
        <v>128</v>
      </c>
      <c r="D31" s="14" t="s">
        <v>46</v>
      </c>
      <c r="E31" s="14" t="s">
        <v>157</v>
      </c>
      <c r="F31" s="14" t="s">
        <v>158</v>
      </c>
      <c r="G31" s="16" t="s">
        <v>159</v>
      </c>
      <c r="H31" s="14" t="s">
        <v>50</v>
      </c>
      <c r="I31" s="15"/>
      <c r="J31" s="15"/>
      <c r="K31" s="15"/>
      <c r="L31" s="15"/>
      <c r="M31" s="15"/>
    </row>
    <row r="32" customFormat="false" ht="30" hidden="false" customHeight="true" outlineLevel="0" collapsed="false">
      <c r="A32" s="14" t="n">
        <v>31</v>
      </c>
      <c r="B32" s="14" t="s">
        <v>156</v>
      </c>
      <c r="C32" s="14" t="s">
        <v>160</v>
      </c>
      <c r="D32" s="14" t="s">
        <v>46</v>
      </c>
      <c r="E32" s="14" t="s">
        <v>161</v>
      </c>
      <c r="F32" s="14" t="s">
        <v>162</v>
      </c>
      <c r="G32" s="14" t="s">
        <v>163</v>
      </c>
      <c r="H32" s="14" t="s">
        <v>50</v>
      </c>
      <c r="I32" s="15"/>
      <c r="J32" s="15"/>
      <c r="K32" s="15"/>
      <c r="L32" s="15"/>
      <c r="M32" s="15"/>
    </row>
    <row r="33" customFormat="false" ht="30" hidden="false" customHeight="true" outlineLevel="0" collapsed="false">
      <c r="A33" s="14" t="n">
        <v>32</v>
      </c>
      <c r="B33" s="14" t="s">
        <v>156</v>
      </c>
      <c r="C33" s="14" t="s">
        <v>164</v>
      </c>
      <c r="D33" s="14" t="s">
        <v>46</v>
      </c>
      <c r="E33" s="14" t="s">
        <v>165</v>
      </c>
      <c r="F33" s="14" t="s">
        <v>166</v>
      </c>
      <c r="G33" s="16" t="s">
        <v>167</v>
      </c>
      <c r="H33" s="14" t="s">
        <v>50</v>
      </c>
      <c r="I33" s="15"/>
      <c r="J33" s="15"/>
      <c r="K33" s="15"/>
      <c r="L33" s="15"/>
      <c r="M33" s="15"/>
    </row>
    <row r="34" customFormat="false" ht="30" hidden="false" customHeight="true" outlineLevel="0" collapsed="false">
      <c r="A34" s="14" t="n">
        <v>33</v>
      </c>
      <c r="B34" s="14" t="s">
        <v>156</v>
      </c>
      <c r="C34" s="14" t="s">
        <v>168</v>
      </c>
      <c r="D34" s="14" t="s">
        <v>46</v>
      </c>
      <c r="E34" s="14" t="s">
        <v>169</v>
      </c>
      <c r="F34" s="14" t="s">
        <v>170</v>
      </c>
      <c r="G34" s="16" t="s">
        <v>167</v>
      </c>
      <c r="H34" s="14" t="s">
        <v>50</v>
      </c>
      <c r="I34" s="15"/>
      <c r="J34" s="15"/>
      <c r="K34" s="15"/>
      <c r="L34" s="15"/>
      <c r="M34" s="15"/>
    </row>
    <row r="35" customFormat="false" ht="30" hidden="false" customHeight="true" outlineLevel="0" collapsed="false">
      <c r="A35" s="14" t="n">
        <v>34</v>
      </c>
      <c r="B35" s="14" t="s">
        <v>156</v>
      </c>
      <c r="C35" s="14" t="s">
        <v>171</v>
      </c>
      <c r="D35" s="14" t="s">
        <v>46</v>
      </c>
      <c r="E35" s="14" t="s">
        <v>172</v>
      </c>
      <c r="F35" s="14" t="s">
        <v>173</v>
      </c>
      <c r="G35" s="14" t="s">
        <v>174</v>
      </c>
      <c r="H35" s="14" t="s">
        <v>50</v>
      </c>
      <c r="I35" s="15"/>
      <c r="J35" s="15"/>
      <c r="K35" s="15"/>
      <c r="L35" s="15"/>
      <c r="M35" s="15"/>
    </row>
    <row r="36" customFormat="false" ht="30" hidden="false" customHeight="true" outlineLevel="0" collapsed="false">
      <c r="A36" s="14" t="n">
        <v>35</v>
      </c>
      <c r="B36" s="14" t="s">
        <v>175</v>
      </c>
      <c r="C36" s="14" t="s">
        <v>176</v>
      </c>
      <c r="D36" s="14" t="s">
        <v>46</v>
      </c>
      <c r="E36" s="14" t="s">
        <v>177</v>
      </c>
      <c r="F36" s="14" t="s">
        <v>178</v>
      </c>
      <c r="G36" s="14" t="s">
        <v>179</v>
      </c>
      <c r="H36" s="14" t="s">
        <v>50</v>
      </c>
      <c r="I36" s="15"/>
      <c r="J36" s="15"/>
      <c r="K36" s="15"/>
      <c r="L36" s="15"/>
      <c r="M36" s="15"/>
    </row>
    <row r="37" customFormat="false" ht="30" hidden="false" customHeight="true" outlineLevel="0" collapsed="false">
      <c r="A37" s="14" t="n">
        <v>36</v>
      </c>
      <c r="B37" s="14" t="s">
        <v>175</v>
      </c>
      <c r="C37" s="14" t="s">
        <v>180</v>
      </c>
      <c r="D37" s="14" t="s">
        <v>46</v>
      </c>
      <c r="E37" s="14" t="s">
        <v>181</v>
      </c>
      <c r="F37" s="14" t="s">
        <v>182</v>
      </c>
      <c r="G37" s="14" t="s">
        <v>183</v>
      </c>
      <c r="H37" s="14" t="s">
        <v>50</v>
      </c>
      <c r="I37" s="15"/>
      <c r="J37" s="15"/>
      <c r="K37" s="15"/>
      <c r="L37" s="15"/>
      <c r="M37" s="15"/>
    </row>
    <row r="38" customFormat="false" ht="30" hidden="false" customHeight="true" outlineLevel="0" collapsed="false">
      <c r="A38" s="14" t="n">
        <v>37</v>
      </c>
      <c r="B38" s="14" t="s">
        <v>175</v>
      </c>
      <c r="C38" s="14" t="s">
        <v>184</v>
      </c>
      <c r="D38" s="14" t="s">
        <v>46</v>
      </c>
      <c r="E38" s="14" t="s">
        <v>185</v>
      </c>
      <c r="F38" s="14" t="s">
        <v>186</v>
      </c>
      <c r="G38" s="16" t="s">
        <v>187</v>
      </c>
      <c r="H38" s="14" t="s">
        <v>50</v>
      </c>
      <c r="I38" s="15"/>
      <c r="J38" s="15"/>
      <c r="K38" s="15"/>
      <c r="L38" s="15"/>
      <c r="M38" s="15"/>
    </row>
  </sheetData>
  <dataValidations count="1">
    <dataValidation allowBlank="true" errorStyle="stop" operator="between" showDropDown="false" showErrorMessage="false" showInputMessage="false" sqref="I2:I38" type="list">
      <formula1>"Confirm,Change,Remove,N/A"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39.75" hidden="false" customHeight="true" outlineLevel="0" collapsed="false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14</v>
      </c>
      <c r="J1" s="13" t="s">
        <v>41</v>
      </c>
      <c r="K1" s="13" t="s">
        <v>16</v>
      </c>
      <c r="L1" s="13" t="s">
        <v>42</v>
      </c>
      <c r="M1" s="13" t="s">
        <v>43</v>
      </c>
    </row>
    <row r="2" customFormat="false" ht="30" hidden="false" customHeight="true" outlineLevel="0" collapsed="false">
      <c r="A2" s="14" t="n">
        <v>1</v>
      </c>
      <c r="B2" s="14" t="s">
        <v>188</v>
      </c>
      <c r="C2" s="14" t="s">
        <v>189</v>
      </c>
      <c r="D2" s="14" t="s">
        <v>46</v>
      </c>
      <c r="E2" s="14" t="s">
        <v>190</v>
      </c>
      <c r="F2" s="14" t="s">
        <v>191</v>
      </c>
      <c r="G2" s="14" t="s">
        <v>192</v>
      </c>
      <c r="H2" s="14" t="s">
        <v>50</v>
      </c>
      <c r="I2" s="15"/>
      <c r="J2" s="15"/>
      <c r="K2" s="15"/>
      <c r="L2" s="15"/>
      <c r="M2" s="15"/>
    </row>
    <row r="3" customFormat="false" ht="30" hidden="false" customHeight="true" outlineLevel="0" collapsed="false">
      <c r="A3" s="14" t="n">
        <v>2</v>
      </c>
      <c r="B3" s="14" t="s">
        <v>188</v>
      </c>
      <c r="C3" s="14" t="s">
        <v>193</v>
      </c>
      <c r="D3" s="14" t="s">
        <v>46</v>
      </c>
      <c r="E3" s="14" t="s">
        <v>194</v>
      </c>
      <c r="F3" s="14" t="s">
        <v>195</v>
      </c>
      <c r="G3" s="14" t="s">
        <v>196</v>
      </c>
      <c r="H3" s="14" t="s">
        <v>50</v>
      </c>
      <c r="I3" s="15"/>
      <c r="J3" s="15"/>
      <c r="K3" s="15"/>
      <c r="L3" s="15"/>
      <c r="M3" s="15"/>
    </row>
    <row r="4" customFormat="false" ht="30" hidden="false" customHeight="true" outlineLevel="0" collapsed="false">
      <c r="A4" s="14" t="n">
        <v>3</v>
      </c>
      <c r="B4" s="14" t="s">
        <v>188</v>
      </c>
      <c r="C4" s="14" t="s">
        <v>197</v>
      </c>
      <c r="D4" s="14" t="s">
        <v>46</v>
      </c>
      <c r="E4" s="14" t="s">
        <v>198</v>
      </c>
      <c r="F4" s="14" t="s">
        <v>197</v>
      </c>
      <c r="G4" s="14" t="s">
        <v>196</v>
      </c>
      <c r="H4" s="14" t="s">
        <v>50</v>
      </c>
      <c r="I4" s="15"/>
      <c r="J4" s="15"/>
      <c r="K4" s="15"/>
      <c r="L4" s="15"/>
      <c r="M4" s="15"/>
    </row>
    <row r="5" customFormat="false" ht="30" hidden="false" customHeight="true" outlineLevel="0" collapsed="false">
      <c r="A5" s="14" t="n">
        <v>4</v>
      </c>
      <c r="B5" s="14" t="s">
        <v>188</v>
      </c>
      <c r="C5" s="14" t="s">
        <v>199</v>
      </c>
      <c r="D5" s="14" t="s">
        <v>46</v>
      </c>
      <c r="E5" s="14" t="s">
        <v>200</v>
      </c>
      <c r="F5" s="14" t="s">
        <v>201</v>
      </c>
      <c r="G5" s="14" t="s">
        <v>196</v>
      </c>
      <c r="H5" s="14" t="s">
        <v>50</v>
      </c>
      <c r="I5" s="15"/>
      <c r="J5" s="15"/>
      <c r="K5" s="15"/>
      <c r="L5" s="15"/>
      <c r="M5" s="15"/>
    </row>
    <row r="6" customFormat="false" ht="30" hidden="false" customHeight="true" outlineLevel="0" collapsed="false">
      <c r="A6" s="14" t="n">
        <v>5</v>
      </c>
      <c r="B6" s="14" t="s">
        <v>188</v>
      </c>
      <c r="C6" s="14" t="s">
        <v>202</v>
      </c>
      <c r="D6" s="14" t="s">
        <v>46</v>
      </c>
      <c r="E6" s="14" t="s">
        <v>203</v>
      </c>
      <c r="F6" s="14" t="s">
        <v>204</v>
      </c>
      <c r="G6" s="14" t="s">
        <v>196</v>
      </c>
      <c r="H6" s="14" t="s">
        <v>50</v>
      </c>
      <c r="I6" s="15"/>
      <c r="J6" s="15"/>
      <c r="K6" s="15"/>
      <c r="L6" s="15"/>
      <c r="M6" s="15"/>
    </row>
    <row r="7" customFormat="false" ht="30" hidden="false" customHeight="true" outlineLevel="0" collapsed="false">
      <c r="A7" s="14" t="n">
        <v>6</v>
      </c>
      <c r="B7" s="14" t="s">
        <v>188</v>
      </c>
      <c r="C7" s="14" t="s">
        <v>205</v>
      </c>
      <c r="D7" s="14" t="s">
        <v>46</v>
      </c>
      <c r="E7" s="14" t="s">
        <v>206</v>
      </c>
      <c r="F7" s="14" t="s">
        <v>207</v>
      </c>
      <c r="G7" s="14" t="s">
        <v>196</v>
      </c>
      <c r="H7" s="14" t="s">
        <v>50</v>
      </c>
      <c r="I7" s="15"/>
      <c r="J7" s="15"/>
      <c r="K7" s="15"/>
      <c r="L7" s="15"/>
      <c r="M7" s="15"/>
    </row>
    <row r="8" customFormat="false" ht="30" hidden="false" customHeight="true" outlineLevel="0" collapsed="false">
      <c r="A8" s="14" t="n">
        <v>7</v>
      </c>
      <c r="B8" s="14" t="s">
        <v>188</v>
      </c>
      <c r="C8" s="14" t="s">
        <v>208</v>
      </c>
      <c r="D8" s="14" t="s">
        <v>46</v>
      </c>
      <c r="E8" s="14" t="s">
        <v>209</v>
      </c>
      <c r="F8" s="14" t="s">
        <v>210</v>
      </c>
      <c r="G8" s="14" t="s">
        <v>196</v>
      </c>
      <c r="H8" s="14" t="s">
        <v>50</v>
      </c>
      <c r="I8" s="15"/>
      <c r="J8" s="15"/>
      <c r="K8" s="15"/>
      <c r="L8" s="15"/>
      <c r="M8" s="15"/>
    </row>
    <row r="9" customFormat="false" ht="30" hidden="false" customHeight="true" outlineLevel="0" collapsed="false">
      <c r="A9" s="14" t="n">
        <v>8</v>
      </c>
      <c r="B9" s="14" t="s">
        <v>211</v>
      </c>
      <c r="C9" s="14" t="s">
        <v>212</v>
      </c>
      <c r="D9" s="14" t="s">
        <v>46</v>
      </c>
      <c r="E9" s="14" t="s">
        <v>213</v>
      </c>
      <c r="F9" s="14" t="s">
        <v>214</v>
      </c>
      <c r="G9" s="14" t="s">
        <v>215</v>
      </c>
      <c r="H9" s="14" t="s">
        <v>50</v>
      </c>
      <c r="I9" s="15"/>
      <c r="J9" s="15"/>
      <c r="K9" s="15"/>
      <c r="L9" s="15"/>
      <c r="M9" s="15"/>
    </row>
    <row r="10" customFormat="false" ht="30" hidden="false" customHeight="true" outlineLevel="0" collapsed="false">
      <c r="A10" s="14" t="n">
        <v>9</v>
      </c>
      <c r="B10" s="14" t="s">
        <v>211</v>
      </c>
      <c r="C10" s="14" t="s">
        <v>216</v>
      </c>
      <c r="D10" s="14" t="s">
        <v>46</v>
      </c>
      <c r="E10" s="14" t="s">
        <v>217</v>
      </c>
      <c r="F10" s="14" t="s">
        <v>218</v>
      </c>
      <c r="G10" s="14" t="s">
        <v>215</v>
      </c>
      <c r="H10" s="14" t="s">
        <v>50</v>
      </c>
      <c r="I10" s="15"/>
      <c r="J10" s="15"/>
      <c r="K10" s="15"/>
      <c r="L10" s="15"/>
      <c r="M10" s="15"/>
    </row>
    <row r="11" customFormat="false" ht="30" hidden="false" customHeight="true" outlineLevel="0" collapsed="false">
      <c r="A11" s="14" t="n">
        <v>10</v>
      </c>
      <c r="B11" s="14" t="s">
        <v>211</v>
      </c>
      <c r="C11" s="14" t="s">
        <v>219</v>
      </c>
      <c r="D11" s="14" t="s">
        <v>46</v>
      </c>
      <c r="E11" s="14" t="s">
        <v>220</v>
      </c>
      <c r="F11" s="14" t="s">
        <v>221</v>
      </c>
      <c r="G11" s="14" t="s">
        <v>215</v>
      </c>
      <c r="H11" s="14" t="s">
        <v>50</v>
      </c>
      <c r="I11" s="15"/>
      <c r="J11" s="15"/>
      <c r="K11" s="15"/>
      <c r="L11" s="15"/>
      <c r="M11" s="15"/>
    </row>
  </sheetData>
  <dataValidations count="1">
    <dataValidation allowBlank="true" errorStyle="stop" operator="between" showDropDown="false" showErrorMessage="false" showInputMessage="false" sqref="I2:I11" type="list">
      <formula1>"Confirm,Change,Remove,N/A"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39.75" hidden="false" customHeight="true" outlineLevel="0" collapsed="false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14</v>
      </c>
      <c r="J1" s="13" t="s">
        <v>41</v>
      </c>
      <c r="K1" s="13" t="s">
        <v>16</v>
      </c>
      <c r="L1" s="13" t="s">
        <v>42</v>
      </c>
      <c r="M1" s="13" t="s">
        <v>43</v>
      </c>
    </row>
    <row r="2" customFormat="false" ht="30" hidden="false" customHeight="true" outlineLevel="0" collapsed="false">
      <c r="A2" s="14" t="n">
        <v>1</v>
      </c>
      <c r="B2" s="14" t="s">
        <v>222</v>
      </c>
      <c r="C2" s="14" t="s">
        <v>17</v>
      </c>
      <c r="D2" s="14" t="s">
        <v>223</v>
      </c>
      <c r="E2" s="14" t="s">
        <v>18</v>
      </c>
      <c r="F2" s="14" t="s">
        <v>224</v>
      </c>
      <c r="G2" s="16" t="s">
        <v>225</v>
      </c>
      <c r="H2" s="14" t="s">
        <v>226</v>
      </c>
      <c r="I2" s="15"/>
      <c r="J2" s="15"/>
      <c r="K2" s="15"/>
      <c r="L2" s="15"/>
      <c r="M2" s="15"/>
    </row>
    <row r="3" customFormat="false" ht="30" hidden="false" customHeight="true" outlineLevel="0" collapsed="false">
      <c r="A3" s="14" t="n">
        <v>2</v>
      </c>
      <c r="B3" s="14" t="s">
        <v>222</v>
      </c>
      <c r="C3" s="14" t="s">
        <v>227</v>
      </c>
      <c r="D3" s="14" t="s">
        <v>223</v>
      </c>
      <c r="E3" s="14" t="s">
        <v>228</v>
      </c>
      <c r="F3" s="14" t="s">
        <v>229</v>
      </c>
      <c r="G3" s="14" t="s">
        <v>230</v>
      </c>
      <c r="H3" s="14" t="s">
        <v>226</v>
      </c>
      <c r="I3" s="15"/>
      <c r="J3" s="15"/>
      <c r="K3" s="15"/>
      <c r="L3" s="15"/>
      <c r="M3" s="15"/>
    </row>
    <row r="4" customFormat="false" ht="30" hidden="false" customHeight="true" outlineLevel="0" collapsed="false">
      <c r="A4" s="14" t="n">
        <v>3</v>
      </c>
      <c r="B4" s="14" t="s">
        <v>231</v>
      </c>
      <c r="C4" s="14" t="s">
        <v>232</v>
      </c>
      <c r="D4" s="14" t="s">
        <v>223</v>
      </c>
      <c r="E4" s="14" t="s">
        <v>233</v>
      </c>
      <c r="F4" s="14" t="s">
        <v>234</v>
      </c>
      <c r="G4" s="14" t="s">
        <v>235</v>
      </c>
      <c r="H4" s="14" t="s">
        <v>226</v>
      </c>
      <c r="I4" s="15"/>
      <c r="J4" s="15"/>
      <c r="K4" s="15"/>
      <c r="L4" s="15"/>
      <c r="M4" s="15"/>
    </row>
    <row r="5" customFormat="false" ht="30" hidden="false" customHeight="true" outlineLevel="0" collapsed="false">
      <c r="A5" s="14" t="n">
        <v>4</v>
      </c>
      <c r="B5" s="14" t="s">
        <v>236</v>
      </c>
      <c r="C5" s="14" t="s">
        <v>237</v>
      </c>
      <c r="D5" s="14" t="s">
        <v>223</v>
      </c>
      <c r="E5" s="14" t="s">
        <v>238</v>
      </c>
      <c r="F5" s="14" t="s">
        <v>239</v>
      </c>
      <c r="G5" s="16" t="s">
        <v>240</v>
      </c>
      <c r="H5" s="14" t="s">
        <v>226</v>
      </c>
      <c r="I5" s="15"/>
      <c r="J5" s="15"/>
      <c r="K5" s="15"/>
      <c r="L5" s="15"/>
      <c r="M5" s="15"/>
    </row>
    <row r="6" customFormat="false" ht="30" hidden="false" customHeight="true" outlineLevel="0" collapsed="false">
      <c r="A6" s="14" t="n">
        <v>5</v>
      </c>
      <c r="B6" s="14" t="s">
        <v>241</v>
      </c>
      <c r="C6" s="14" t="s">
        <v>242</v>
      </c>
      <c r="D6" s="14" t="s">
        <v>223</v>
      </c>
      <c r="E6" s="14" t="s">
        <v>243</v>
      </c>
      <c r="F6" s="14" t="s">
        <v>244</v>
      </c>
      <c r="G6" s="14" t="s">
        <v>245</v>
      </c>
      <c r="H6" s="14" t="s">
        <v>226</v>
      </c>
      <c r="I6" s="15"/>
      <c r="J6" s="15"/>
      <c r="K6" s="15"/>
      <c r="L6" s="15"/>
      <c r="M6" s="15"/>
    </row>
    <row r="7" customFormat="false" ht="30" hidden="false" customHeight="true" outlineLevel="0" collapsed="false">
      <c r="A7" s="14" t="n">
        <v>6</v>
      </c>
      <c r="B7" s="14" t="s">
        <v>246</v>
      </c>
      <c r="C7" s="14" t="s">
        <v>247</v>
      </c>
      <c r="D7" s="14" t="s">
        <v>248</v>
      </c>
      <c r="E7" s="14" t="s">
        <v>249</v>
      </c>
      <c r="F7" s="14" t="s">
        <v>250</v>
      </c>
      <c r="G7" s="16" t="s">
        <v>251</v>
      </c>
      <c r="H7" s="14" t="s">
        <v>252</v>
      </c>
      <c r="I7" s="15"/>
      <c r="J7" s="15"/>
      <c r="K7" s="15"/>
      <c r="L7" s="15"/>
      <c r="M7" s="15"/>
    </row>
    <row r="8" customFormat="false" ht="30" hidden="false" customHeight="true" outlineLevel="0" collapsed="false">
      <c r="A8" s="14" t="n">
        <v>7</v>
      </c>
      <c r="B8" s="14" t="s">
        <v>253</v>
      </c>
      <c r="C8" s="14" t="s">
        <v>254</v>
      </c>
      <c r="D8" s="14" t="s">
        <v>223</v>
      </c>
      <c r="E8" s="14" t="s">
        <v>255</v>
      </c>
      <c r="F8" s="14" t="s">
        <v>256</v>
      </c>
      <c r="G8" s="16" t="s">
        <v>257</v>
      </c>
      <c r="H8" s="14" t="s">
        <v>226</v>
      </c>
      <c r="I8" s="15"/>
      <c r="J8" s="15"/>
      <c r="K8" s="15"/>
      <c r="L8" s="15"/>
      <c r="M8" s="15"/>
    </row>
  </sheetData>
  <dataValidations count="1">
    <dataValidation allowBlank="true" errorStyle="stop" operator="between" showDropDown="false" showErrorMessage="false" showInputMessage="false" sqref="I2:I8" type="list">
      <formula1>"Confirm,Change,Remove,N/A"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39.75" hidden="false" customHeight="true" outlineLevel="0" collapsed="false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14</v>
      </c>
      <c r="J1" s="13" t="s">
        <v>41</v>
      </c>
      <c r="K1" s="13" t="s">
        <v>16</v>
      </c>
      <c r="L1" s="13" t="s">
        <v>42</v>
      </c>
      <c r="M1" s="13" t="s">
        <v>43</v>
      </c>
    </row>
    <row r="2" customFormat="false" ht="30" hidden="false" customHeight="true" outlineLevel="0" collapsed="false">
      <c r="A2" s="14" t="n">
        <v>1</v>
      </c>
      <c r="B2" s="14" t="s">
        <v>258</v>
      </c>
      <c r="C2" s="14" t="s">
        <v>259</v>
      </c>
      <c r="D2" s="14" t="s">
        <v>260</v>
      </c>
      <c r="E2" s="14" t="s">
        <v>261</v>
      </c>
      <c r="F2" s="14" t="s">
        <v>262</v>
      </c>
      <c r="G2" s="17" t="s">
        <v>263</v>
      </c>
      <c r="H2" s="14" t="s">
        <v>264</v>
      </c>
      <c r="I2" s="15" t="s">
        <v>265</v>
      </c>
      <c r="J2" s="15"/>
      <c r="K2" s="15"/>
      <c r="L2" s="15"/>
      <c r="M2" s="15"/>
    </row>
    <row r="3" customFormat="false" ht="30" hidden="false" customHeight="true" outlineLevel="0" collapsed="false">
      <c r="A3" s="14" t="n">
        <v>2</v>
      </c>
      <c r="B3" s="14" t="s">
        <v>258</v>
      </c>
      <c r="C3" s="14" t="s">
        <v>266</v>
      </c>
      <c r="D3" s="14" t="s">
        <v>260</v>
      </c>
      <c r="E3" s="14" t="s">
        <v>267</v>
      </c>
      <c r="F3" s="14" t="s">
        <v>268</v>
      </c>
      <c r="G3" s="17" t="s">
        <v>263</v>
      </c>
      <c r="H3" s="14" t="s">
        <v>264</v>
      </c>
      <c r="I3" s="15" t="s">
        <v>265</v>
      </c>
      <c r="J3" s="15"/>
      <c r="K3" s="15"/>
      <c r="L3" s="15"/>
      <c r="M3" s="15"/>
    </row>
    <row r="4" customFormat="false" ht="30" hidden="false" customHeight="true" outlineLevel="0" collapsed="false">
      <c r="A4" s="14" t="n">
        <v>3</v>
      </c>
      <c r="B4" s="14" t="s">
        <v>258</v>
      </c>
      <c r="C4" s="14" t="s">
        <v>269</v>
      </c>
      <c r="D4" s="14" t="s">
        <v>260</v>
      </c>
      <c r="E4" s="14" t="s">
        <v>270</v>
      </c>
      <c r="F4" s="14" t="s">
        <v>271</v>
      </c>
      <c r="G4" s="17" t="s">
        <v>263</v>
      </c>
      <c r="H4" s="14" t="s">
        <v>264</v>
      </c>
      <c r="I4" s="15" t="s">
        <v>265</v>
      </c>
      <c r="J4" s="15"/>
      <c r="K4" s="15"/>
      <c r="L4" s="15"/>
      <c r="M4" s="15"/>
    </row>
    <row r="5" customFormat="false" ht="30" hidden="false" customHeight="true" outlineLevel="0" collapsed="false">
      <c r="A5" s="14" t="n">
        <v>4</v>
      </c>
      <c r="B5" s="14" t="s">
        <v>258</v>
      </c>
      <c r="C5" s="14" t="s">
        <v>272</v>
      </c>
      <c r="D5" s="14" t="s">
        <v>260</v>
      </c>
      <c r="E5" s="14" t="s">
        <v>273</v>
      </c>
      <c r="F5" s="14" t="s">
        <v>274</v>
      </c>
      <c r="G5" s="17" t="s">
        <v>263</v>
      </c>
      <c r="H5" s="14" t="s">
        <v>264</v>
      </c>
      <c r="I5" s="15" t="s">
        <v>265</v>
      </c>
      <c r="J5" s="15"/>
      <c r="K5" s="15"/>
      <c r="L5" s="15"/>
      <c r="M5" s="15"/>
    </row>
    <row r="6" customFormat="false" ht="30" hidden="false" customHeight="true" outlineLevel="0" collapsed="false">
      <c r="A6" s="14" t="n">
        <v>5</v>
      </c>
      <c r="B6" s="14" t="s">
        <v>258</v>
      </c>
      <c r="C6" s="14" t="s">
        <v>275</v>
      </c>
      <c r="D6" s="14" t="s">
        <v>260</v>
      </c>
      <c r="E6" s="14" t="s">
        <v>276</v>
      </c>
      <c r="F6" s="14" t="s">
        <v>277</v>
      </c>
      <c r="G6" s="17" t="s">
        <v>263</v>
      </c>
      <c r="H6" s="14" t="s">
        <v>264</v>
      </c>
      <c r="I6" s="15" t="s">
        <v>265</v>
      </c>
      <c r="J6" s="15"/>
      <c r="K6" s="15"/>
      <c r="L6" s="15"/>
      <c r="M6" s="15"/>
    </row>
    <row r="7" customFormat="false" ht="30" hidden="false" customHeight="true" outlineLevel="0" collapsed="false">
      <c r="A7" s="14" t="n">
        <v>6</v>
      </c>
      <c r="B7" s="14" t="s">
        <v>258</v>
      </c>
      <c r="C7" s="14" t="s">
        <v>278</v>
      </c>
      <c r="D7" s="14" t="s">
        <v>260</v>
      </c>
      <c r="E7" s="14" t="s">
        <v>279</v>
      </c>
      <c r="F7" s="14" t="s">
        <v>280</v>
      </c>
      <c r="G7" s="17" t="s">
        <v>263</v>
      </c>
      <c r="H7" s="14" t="s">
        <v>264</v>
      </c>
      <c r="I7" s="15" t="s">
        <v>265</v>
      </c>
      <c r="J7" s="15"/>
      <c r="K7" s="15"/>
      <c r="L7" s="15"/>
      <c r="M7" s="15"/>
    </row>
    <row r="8" customFormat="false" ht="30" hidden="false" customHeight="true" outlineLevel="0" collapsed="false">
      <c r="A8" s="14" t="n">
        <v>7</v>
      </c>
      <c r="B8" s="14" t="s">
        <v>258</v>
      </c>
      <c r="C8" s="14" t="s">
        <v>281</v>
      </c>
      <c r="D8" s="14" t="s">
        <v>260</v>
      </c>
      <c r="E8" s="14" t="s">
        <v>282</v>
      </c>
      <c r="F8" s="14" t="s">
        <v>283</v>
      </c>
      <c r="G8" s="17" t="s">
        <v>263</v>
      </c>
      <c r="H8" s="14" t="s">
        <v>264</v>
      </c>
      <c r="I8" s="15" t="s">
        <v>265</v>
      </c>
      <c r="J8" s="15"/>
      <c r="K8" s="15"/>
      <c r="L8" s="15"/>
      <c r="M8" s="15"/>
    </row>
    <row r="9" customFormat="false" ht="30" hidden="false" customHeight="true" outlineLevel="0" collapsed="false">
      <c r="A9" s="14" t="n">
        <v>8</v>
      </c>
      <c r="B9" s="14" t="s">
        <v>258</v>
      </c>
      <c r="C9" s="14" t="s">
        <v>284</v>
      </c>
      <c r="D9" s="14" t="s">
        <v>260</v>
      </c>
      <c r="E9" s="14" t="s">
        <v>285</v>
      </c>
      <c r="F9" s="14" t="s">
        <v>286</v>
      </c>
      <c r="G9" s="17" t="s">
        <v>263</v>
      </c>
      <c r="H9" s="14" t="s">
        <v>264</v>
      </c>
      <c r="I9" s="15" t="s">
        <v>265</v>
      </c>
      <c r="J9" s="15"/>
      <c r="K9" s="15"/>
      <c r="L9" s="15"/>
      <c r="M9" s="15"/>
    </row>
    <row r="10" customFormat="false" ht="30" hidden="false" customHeight="true" outlineLevel="0" collapsed="false">
      <c r="A10" s="14" t="n">
        <v>9</v>
      </c>
      <c r="B10" s="14" t="s">
        <v>258</v>
      </c>
      <c r="C10" s="14" t="s">
        <v>287</v>
      </c>
      <c r="D10" s="14" t="s">
        <v>260</v>
      </c>
      <c r="E10" s="14" t="s">
        <v>288</v>
      </c>
      <c r="F10" s="14" t="s">
        <v>289</v>
      </c>
      <c r="G10" s="17" t="s">
        <v>263</v>
      </c>
      <c r="H10" s="14" t="s">
        <v>264</v>
      </c>
      <c r="I10" s="15" t="s">
        <v>265</v>
      </c>
      <c r="J10" s="15"/>
      <c r="K10" s="15"/>
      <c r="L10" s="15"/>
      <c r="M10" s="15"/>
    </row>
  </sheetData>
  <dataValidations count="1">
    <dataValidation allowBlank="true" errorStyle="stop" operator="between" showDropDown="false" showErrorMessage="false" showInputMessage="false" sqref="I2:I10" type="list">
      <formula1>"Confirm,Change,Remove,N/A"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2026-07-15T08:37:45Z</dcterms:created>
  <dc:creator>openpyxl</dc:creator>
  <dc:description/>
  <dc:language>en-US</dc:language>
  <cp:lastModifiedBy/>
  <dcterms:modified xsi:type="dcterms:W3CDTF">2026-07-15T08:37:45Z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