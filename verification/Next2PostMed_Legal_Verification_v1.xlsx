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Οδηγίες" sheetId="1" state="visible" r:id="rId3"/>
    <sheet name="Legal_ThirdDoc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<sst xmlns="http://schemas.openxmlformats.org/spreadsheetml/2006/main" count="122" uniqueCount="104">
  <si>
    <t xml:space="preserve">Next2MCL · Legal Coding Verification — third-doctor windows &amp; POEA-SEC (sign-off)</t>
  </si>
  <si>
    <t xml:space="preserve">Next2PostMed · Legal track · 2026-07-15</t>
  </si>
  <si>
    <t xml:space="preserve">🔎 ΚΥΡΙΟ ΕΥΡΗΜΑ — Bunayog v. Foscon Shipmanagement (G.R. No. 253480, 25 Απρ 2023, SC En Banc)</t>
  </si>
  <si>
    <t xml:space="preserve">Το SC En Banc έθεσε ΣΥΓΚΕΚΡΙΜΕΝΑ χρονικά όρια στη διαδικασία τρίτου γιατρού:</t>
  </si>
  <si>
    <t xml:space="preserve">• Ναυτικός → γραπτό αίτημα παραπομπής + report δικού του γιατρού, εντός «reasonable period» (ΟΧΙ σταθερό).</t>
  </si>
  <si>
    <t xml:space="preserve">• Εργοδότης → οφείλει να συναινέσει· assent πέραν των 10 ΗΜΕΡΩΝ από τη λήψη = παράβαση POEA-SEC.</t>
  </si>
  <si>
    <t xml:space="preserve">• Μετά την υποβολή complaint (mandatory conference): 15 ΗΜΕΡΕΣ για εξασφάλιση τρίτου γιατρού + 30 ΗΜΕΡΕΣ για την επανεκτίμησή του.</t>
  </si>
  <si>
    <t xml:space="preserve">→ Συνέπεια: τα δικά μας 15/10/30 (signify/appoint/decision) πρέπει να ΞΑΝΑΔΟΜΗΘΟΥΝ: signify = «reasonable period» · employer-assent = 10 ημ. · secure third doctor = 15 ημ. · reassessment = 30 ημ. (το 30 ήδη ταιριάζει).</t>
  </si>
  <si>
    <t xml:space="preserve">Σκοπός</t>
  </si>
  <si>
    <t xml:space="preserve">Κάθε νομική παράμετρος του Legal track του Next2PostMed, όπως υλοποιήθηκε. Ο νομικός reviewer επιβεβαιώνει/διορθώνει (dropdown Confirm/Change/Remove/N/A) και συμπληρώνει τις κίτρινες στήλες (H–L).</t>
  </si>
  <si>
    <t xml:space="preserve">Βάθος επαλήθευσης Claude (διαφανές)</t>
  </si>
  <si>
    <t xml:space="preserve">• Τα «hard law / settled» έχουν διασταυρωθεί με POEA-SEC §20 + πάγια νομολογία (Vergara, Elburg/Quiogue, Abundo, Kestrel, Bunayog, Sunit, Formerly INC v. Rosales).</t>
  </si>
  <si>
    <t xml:space="preserve">• Τα ⚠ είναι σημεία που ο πρώτος έλεγχος εντόπισε ότι ΔΕΝ ευθυγραμμίζονται πλήρως με το controlling precedent ή εξαρτώνται από το CBA.</t>
  </si>
  <si>
    <t xml:space="preserve">• Η τελική νομική κρίση (ιδίως ανά-CBA) ανήκει στη νομική ομάδα.</t>
  </si>
  <si>
    <t xml:space="preserve">Legend — «Claude first-pass»</t>
  </si>
  <si>
    <t xml:space="preserve">✅ = verified / aligns   ·   ⚠ = χρειάζεται διόρθωση ή επιλογή   ·   Το «Reviewer decision» έχει dropdown.</t>
  </si>
  <si>
    <t xml:space="preserve">Sign-off tracker (auto)</t>
  </si>
  <si>
    <t xml:space="preserve">Μέτρο</t>
  </si>
  <si>
    <t xml:space="preserve">Πλήθος</t>
  </si>
  <si>
    <t xml:space="preserve">Σύνολο items</t>
  </si>
  <si>
    <t xml:space="preserve">Confirmed</t>
  </si>
  <si>
    <t xml:space="preserve">Changed</t>
  </si>
  <si>
    <t xml:space="preserve">Removed</t>
  </si>
  <si>
    <t xml:space="preserve">N/A</t>
  </si>
  <si>
    <t xml:space="preserve">Εκκρεμεί (χωρίς απόφαση)</t>
  </si>
  <si>
    <t xml:space="preserve">Σημ.: τα «Confirm»/«Change» είναι προ-συμπληρωμένα με την εισήγηση του Claude first-pass — ο reviewer τα επικυρώνει ή τα αλλάζει.</t>
  </si>
  <si>
    <t xml:space="preserve">#</t>
  </si>
  <si>
    <t xml:space="preserve">Track / στάδιο</t>
  </si>
  <si>
    <t xml:space="preserve">Νομική παράμετρος / assertion</t>
  </si>
  <si>
    <t xml:space="preserve">Όπως υλοποιήθηκε (Next2PostMed)</t>
  </si>
  <si>
    <t xml:space="preserve">Νομικό status</t>
  </si>
  <si>
    <t xml:space="preserve">Πηγή / citation</t>
  </si>
  <si>
    <t xml:space="preserve">Claude first-pass (triage)</t>
  </si>
  <si>
    <t xml:space="preserve">Reviewer decision</t>
  </si>
  <si>
    <t xml:space="preserve">Corrected value</t>
  </si>
  <si>
    <t xml:space="preserve">Reviewer notes</t>
  </si>
  <si>
    <t xml:space="preserve">Reviewer</t>
  </si>
  <si>
    <t xml:space="preserve">Date</t>
  </si>
  <si>
    <t xml:space="preserve">3-day report</t>
  </si>
  <si>
    <t xml:space="preserve">3 εργάσιμες: PEME report στον company-designated physician (αλλιώς forfeiture)</t>
  </si>
  <si>
    <t xml:space="preserve">3d ✓ · forced-compliance</t>
  </si>
  <si>
    <t xml:space="preserve">Verified · hard law</t>
  </si>
  <si>
    <t xml:space="preserve">POEA-SEC §20(A); Labor Code</t>
  </si>
  <si>
    <t xml:space="preserve">✅ hard law. OK.</t>
  </si>
  <si>
    <t xml:space="preserve">Confirm</t>
  </si>
  <si>
    <t xml:space="preserve">120-day</t>
  </si>
  <si>
    <t xml:space="preserve">120 ημ. για τελική &amp; οριστική εκτίμηση· όσο τρέχει = temporary total disability</t>
  </si>
  <si>
    <t xml:space="preserve">120-day clock + χρωματικά states</t>
  </si>
  <si>
    <t xml:space="preserve">Verified · settled</t>
  </si>
  <si>
    <t xml:space="preserve">Vergara v. Hammonia; Elburg v. Quiogue (G.R. 211882)</t>
  </si>
  <si>
    <t xml:space="preserve">✅ settled. OK.</t>
  </si>
  <si>
    <t xml:space="preserve">Sickness allowance</t>
  </si>
  <si>
    <t xml:space="preserve">Βασικός μισθός, μηνιαία, ≤120 ημ.</t>
  </si>
  <si>
    <t xml:space="preserve">Financial: wage × μήνες, cap 4 μήνες = 120 ημ.</t>
  </si>
  <si>
    <t xml:space="preserve">POEA-SEC §20(A)(3)</t>
  </si>
  <si>
    <t xml:space="preserve">✅ hard law, δεμένο σωστά στο 120-day. OK.</t>
  </si>
  <si>
    <t xml:space="preserve">240-day</t>
  </si>
  <si>
    <t xml:space="preserve">240 ημ. μέγιστο με δικαιολογημένη συνέχιση θεραπείας· λήξη → PTD by operation of law</t>
  </si>
  <si>
    <t xml:space="preserve">240 gate (γραπτή αιτιολόγηση) + auto-flag PTD</t>
  </si>
  <si>
    <t xml:space="preserve">Vergara; Elburg; Quiogue</t>
  </si>
  <si>
    <t xml:space="preserve">Third-doctor: trigger</t>
  </si>
  <si>
    <t xml:space="preserve">Υποχρεωτική παραπομπή στην αμφισβήτηση· ο ναυτικός κινεί με ΓΡΑΠΤΟ αίτημα + report δικού του γιατρού</t>
  </si>
  <si>
    <t xml:space="preserve">Contest → windows· η ευθύνη έναρξης στον ναυτικό</t>
  </si>
  <si>
    <t xml:space="preserve">POEA-SEC §20(A)(3); Bunayog v. Foscon (G.R. 253480, 25/4/2023, En Banc); Formerly INC v. Rosales; Sunit v. OSM</t>
  </si>
  <si>
    <t xml:space="preserve">✅ σωστό ότι ο ναυτικός κινεί &amp; με γραπτό αίτημα. OK.</t>
  </si>
  <si>
    <t xml:space="preserve">CFMA quality gate</t>
  </si>
  <si>
    <t xml:space="preserve">Τελική/οριστική· interim / «continue rehab» / ενδεικτική βαθμολόγηση = ΜΗ τελική → ρολόι συνεχίζει</t>
  </si>
  <si>
    <t xml:space="preserve">CFMA quality gate + «flag as interim» toggle</t>
  </si>
  <si>
    <t xml:space="preserve">Abundo v. Magsaysay (G.R. 222348); Kestrel v. Munar (G.R. 198501)</t>
  </si>
  <si>
    <t xml:space="preserve">✅ settled — δυνατό σημείο. OK.</t>
  </si>
  <si>
    <t xml:space="preserve">Window 1 · signify</t>
  </si>
  <si>
    <t xml:space="preserve">Ο ναυτικός δηλώνει διαφωνία στο CFMA</t>
  </si>
  <si>
    <t xml:space="preserve">15 ημ. (operational SLA)</t>
  </si>
  <si>
    <t xml:space="preserve">⚠ ΔΙΟΡΘΩΣΗ</t>
  </si>
  <si>
    <t xml:space="preserve">Bunayog v. Foscon (2023, En Banc)</t>
  </si>
  <si>
    <t xml:space="preserve">⚠ Per Bunayog ο ναυτικός ενεργεί εντός «reasonable period» — ΟΧΙ σταθερές 15 ημ. Άλλαξε σε «reasonable period» (ή κράτα soft SLA ΜΕ ρητή σήμανση «operational, όχι statutory»).</t>
  </si>
  <si>
    <t xml:space="preserve">Change</t>
  </si>
  <si>
    <t xml:space="preserve">Window 2 · appoint</t>
  </si>
  <si>
    <t xml:space="preserve">Από κοινού ορισμός τρίτου γιατρού</t>
  </si>
  <si>
    <t xml:space="preserve">10 ημ. (operational SLA)</t>
  </si>
  <si>
    <t xml:space="preserve">Bunayog v. Foscon (2023, En Banc); NLRC En Banc Res. 008-14</t>
  </si>
  <si>
    <t xml:space="preserve">⚠ Bunayog: 10 ημ. = παράθυρο του ΕΡΓΟΔΟΤΗ να συναινέσει (assent &gt;10 ημ. → παράβαση). Η εξασφάλιση τρίτου γιατρού = 15 ημ. (στάδιο mandatory conference). Ξαναδόμησε: employer-assent 10 ημ. · secure third doctor 15 ημ.</t>
  </si>
  <si>
    <t xml:space="preserve">Window 3 · decision</t>
  </si>
  <si>
    <t xml:space="preserve">Δεσμευτική απόφαση/επανεκτίμηση τρίτου γιατρού</t>
  </si>
  <si>
    <t xml:space="preserve">30 ημ. (operational SLA)</t>
  </si>
  <si>
    <t xml:space="preserve">✅ Ταιριάζει με SC guideline</t>
  </si>
  <si>
    <t xml:space="preserve">✅ ΤΑΙΡΙΑΖΕΙ με Bunayog: 30 ημ. για την επανεκτίμηση. Κράτησέ το — αναβάθμισε label από «proposed» → «per SC guideline (Bunayog)».</t>
  </si>
  <si>
    <t xml:space="preserve">QMA / SW R&amp;R</t>
  </si>
  <si>
    <t xml:space="preserve">Έγκυρη quitclaim: εκούσια · εύλογο αντάλλαγμα · σαφείς όροι · χωρίς απάτη/εξαναγκασμό</t>
  </si>
  <si>
    <t xml:space="preserve">Validity checklist chips + e-sign RA 8792</t>
  </si>
  <si>
    <t xml:space="preserve">Πάγια νομολογία quitclaim (π.χ. More Maritime v. NLRC)</t>
  </si>
  <si>
    <t xml:space="preserve">✅ σωστά τα κριτήρια εγκυρότητας. OK.</t>
  </si>
  <si>
    <t xml:space="preserve">Adjudication ladder</t>
  </si>
  <si>
    <t xml:space="preserve">NLRC → Court of Appeals → Supreme Court</t>
  </si>
  <si>
    <t xml:space="preserve">Ladder chips (NLRC/CA/SC) + Escalate to NLRC</t>
  </si>
  <si>
    <t xml:space="preserve">Verified · procedural</t>
  </si>
  <si>
    <t xml:space="preserve">NLRC En Banc Res. 008-14; Bunayog</t>
  </si>
  <si>
    <t xml:space="preserve">✅ σωστή σειρά. OK.</t>
  </si>
  <si>
    <t xml:space="preserve">Governing law / CBA</t>
  </si>
  <si>
    <t xml:space="preserve">Ιεραρχία: Labor Code 197-199 + POEA-SEC + CBA + jurisprudence· το CBA μπορεί να ορίζει δικά του third-doctor timelines (υπερισχύουν)</t>
  </si>
  <si>
    <t xml:space="preserve">SLA 15/10/30 generic (ίδιο για όλους)</t>
  </si>
  <si>
    <t xml:space="preserve">⚠ Confirm per CBA</t>
  </si>
  <si>
    <t xml:space="preserve">Labor Code Arts. 197-199; POEA-SEC; per-principal CBA (AMOSUP/IBF)</t>
  </si>
  <si>
    <t xml:space="preserve">⚠ Κάθε principal μπορεί να έχει CBA με δικά του third-doctor timelines που ΥΠΕΡΙΣΧΥΟΥΝ του SLA. Confirm ανά CBA· ίσως χρειάζεται per-tenant παραμετροποίηση των windows.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</si>
</sst>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6A3E8C"/>
      <name val="Arial"/>
      <family val="0"/>
      <charset val="1"/>
    </font>
    <font>
      <sz val="10"/>
      <color rgb="FF1F2A37"/>
      <name val="Arial"/>
      <family val="0"/>
      <charset val="1"/>
    </font>
    <font>
      <b val="true"/>
      <sz val="11"/>
      <color rgb="FFB23B33"/>
      <name val="Arial"/>
      <family val="0"/>
      <charset val="1"/>
    </font>
    <font>
      <b val="true"/>
      <sz val="10"/>
      <color rgb="FFB23B33"/>
      <name val="Arial"/>
      <family val="0"/>
      <charset val="1"/>
    </font>
    <font>
      <b val="true"/>
      <sz val="11"/>
      <color rgb="FF1F2A37"/>
      <name val="Arial"/>
      <family val="0"/>
      <charset val="1"/>
    </font>
    <font>
      <b val="true"/>
      <sz val="10"/>
      <color rgb="FF1F2A37"/>
      <name val="Arial"/>
      <family val="0"/>
      <charset val="1"/>
    </font>
    <font>
      <sz val="10"/>
      <name val="Arial"/>
      <family val="0"/>
      <charset val="1"/>
    </font>
    <font>
      <sz val="9"/>
      <color rgb="FF7A7266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DE6F3"/>
        <bgColor rgb="FFE5F2EA"/>
      </patternFill>
    </fill>
    <fill>
      <patternFill patternType="solid">
        <fgColor rgb="FF8B4FA8"/>
        <bgColor rgb="FF6A3E8C"/>
      </patternFill>
    </fill>
    <fill>
      <patternFill patternType="solid">
        <fgColor rgb="FFE5F2EA"/>
        <bgColor rgb="FFEDE6F3"/>
      </patternFill>
    </fill>
    <fill>
      <patternFill patternType="solid">
        <fgColor rgb="FFFFF9E6"/>
        <bgColor rgb="FFFBF0DE"/>
      </patternFill>
    </fill>
    <fill>
      <patternFill patternType="solid">
        <fgColor rgb="FFFBF0DE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7"/>
      </left>
      <right style="thin">
        <color rgb="FFD9D2C7"/>
      </right>
      <top style="thin">
        <color rgb="FFD9D2C7"/>
      </top>
      <bottom style="thin">
        <color rgb="FFD9D2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7"/>
      <rgbColor rgb="FF7A7266"/>
      <rgbColor rgb="FF9999FF"/>
      <rgbColor rgb="FFB23B33"/>
      <rgbColor rgb="FFFFF9E6"/>
      <rgbColor rgb="FFE5F2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6F3"/>
      <rgbColor rgb="FFCCFFCC"/>
      <rgbColor rgb="FFFBF0D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B4FA8"/>
      <rgbColor rgb="FF969696"/>
      <rgbColor rgb="FF003366"/>
      <rgbColor rgb="FF339966"/>
      <rgbColor rgb="FF003300"/>
      <rgbColor rgb="FF333300"/>
      <rgbColor rgb="FF993300"/>
      <rgbColor rgb="FF6A3E8C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5" min="4" style="0" width="20"/>
    <col collapsed="false" customWidth="true" hidden="false" outlineLevel="0" max="6" min="6" style="0" width="16"/>
  </cols>
  <sheetData>
    <row r="2" customFormat="false" ht="50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9.5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2" t="s">
        <v>3</v>
      </c>
    </row>
    <row r="7" customFormat="false" ht="35.05" hidden="false" customHeight="false" outlineLevel="0" collapsed="false">
      <c r="B7" s="2" t="s">
        <v>4</v>
      </c>
    </row>
    <row r="8" customFormat="false" ht="35.05" hidden="false" customHeight="false" outlineLevel="0" collapsed="false">
      <c r="B8" s="2" t="s">
        <v>5</v>
      </c>
    </row>
    <row r="9" customFormat="false" ht="35.05" hidden="false" customHeight="false" outlineLevel="0" collapsed="false">
      <c r="B9" s="2" t="s">
        <v>6</v>
      </c>
    </row>
    <row r="10" customFormat="false" ht="68.65" hidden="false" customHeight="false" outlineLevel="0" collapsed="false">
      <c r="B10" s="4" t="s">
        <v>7</v>
      </c>
    </row>
    <row r="12" customFormat="false" ht="15" hidden="false" customHeight="false" outlineLevel="0" collapsed="false">
      <c r="B12" s="5" t="s">
        <v>8</v>
      </c>
    </row>
    <row r="13" customFormat="false" ht="57.45" hidden="false" customHeight="false" outlineLevel="0" collapsed="false">
      <c r="B13" s="2" t="s">
        <v>9</v>
      </c>
    </row>
    <row r="15" customFormat="false" ht="15" hidden="false" customHeight="false" outlineLevel="0" collapsed="false">
      <c r="B15" s="5" t="s">
        <v>10</v>
      </c>
    </row>
    <row r="16" customFormat="false" ht="46.25" hidden="false" customHeight="false" outlineLevel="0" collapsed="false">
      <c r="B16" s="2" t="s">
        <v>11</v>
      </c>
    </row>
    <row r="17" customFormat="false" ht="35.05" hidden="false" customHeight="false" outlineLevel="0" collapsed="false">
      <c r="B17" s="2" t="s">
        <v>12</v>
      </c>
    </row>
    <row r="18" customFormat="false" ht="23.85" hidden="false" customHeight="false" outlineLevel="0" collapsed="false">
      <c r="B18" s="2" t="s">
        <v>13</v>
      </c>
    </row>
    <row r="20" customFormat="false" ht="15" hidden="false" customHeight="false" outlineLevel="0" collapsed="false">
      <c r="B20" s="5" t="s">
        <v>14</v>
      </c>
    </row>
    <row r="21" customFormat="false" ht="23.85" hidden="false" customHeight="false" outlineLevel="0" collapsed="false">
      <c r="B21" s="2" t="s">
        <v>15</v>
      </c>
    </row>
    <row r="23" customFormat="false" ht="15" hidden="false" customHeight="false" outlineLevel="0" collapsed="false">
      <c r="B23" s="5" t="s">
        <v>16</v>
      </c>
    </row>
    <row r="24" customFormat="false" ht="15" hidden="false" customHeight="false" outlineLevel="0" collapsed="false">
      <c r="B24" s="6" t="s">
        <v>17</v>
      </c>
      <c r="C24" s="6" t="s">
        <v>18</v>
      </c>
    </row>
    <row r="25" customFormat="false" ht="15" hidden="false" customHeight="false" outlineLevel="0" collapsed="false">
      <c r="B25" s="7" t="s">
        <v>19</v>
      </c>
      <c r="C25" s="8" t="n">
        <v>12</v>
      </c>
    </row>
    <row r="26" customFormat="false" ht="15" hidden="false" customHeight="false" outlineLevel="0" collapsed="false">
      <c r="B26" s="7" t="s">
        <v>20</v>
      </c>
      <c r="C26" s="8" t="n">
        <f aca="false">COUNTIF(Legal_ThirdDoctor!H2:H13,"Confirm")</f>
        <v>9</v>
      </c>
    </row>
    <row r="27" customFormat="false" ht="15" hidden="false" customHeight="false" outlineLevel="0" collapsed="false">
      <c r="B27" s="7" t="s">
        <v>21</v>
      </c>
      <c r="C27" s="8" t="n">
        <f aca="false">COUNTIF(Legal_ThirdDoctor!H2:H13,"Change")</f>
        <v>3</v>
      </c>
    </row>
    <row r="28" customFormat="false" ht="15" hidden="false" customHeight="false" outlineLevel="0" collapsed="false">
      <c r="B28" s="7" t="s">
        <v>22</v>
      </c>
      <c r="C28" s="8" t="n">
        <f aca="false">COUNTIF(Legal_ThirdDoctor!H2:H13,"Remove")</f>
        <v>0</v>
      </c>
    </row>
    <row r="29" customFormat="false" ht="15" hidden="false" customHeight="false" outlineLevel="0" collapsed="false">
      <c r="B29" s="7" t="s">
        <v>23</v>
      </c>
      <c r="C29" s="8" t="n">
        <f aca="false">COUNTIF(Legal_ThirdDoctor!H2:H13,"N/A")</f>
        <v>0</v>
      </c>
    </row>
    <row r="30" customFormat="false" ht="15" hidden="false" customHeight="false" outlineLevel="0" collapsed="false">
      <c r="B30" s="7" t="s">
        <v>24</v>
      </c>
      <c r="C30" s="8" t="n">
        <f aca="false">C25-(C26+C27+C28+C29)</f>
        <v>0</v>
      </c>
    </row>
    <row r="32" customFormat="false" ht="32.8" hidden="false" customHeight="false" outlineLevel="0" collapsed="false">
      <c r="B32" s="9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10"/>
    <col collapsed="false" customWidth="true" hidden="false" outlineLevel="0" max="12" min="12" style="0" width="11"/>
  </cols>
  <sheetData>
    <row r="1" customFormat="false" ht="39.75" hidden="false" customHeight="true" outlineLevel="0" collapsed="false">
      <c r="A1" s="10" t="s">
        <v>26</v>
      </c>
      <c r="B1" s="10" t="s">
        <v>27</v>
      </c>
      <c r="C1" s="10" t="s">
        <v>28</v>
      </c>
      <c r="D1" s="10" t="s">
        <v>29</v>
      </c>
      <c r="E1" s="10" t="s">
        <v>30</v>
      </c>
      <c r="F1" s="10" t="s">
        <v>31</v>
      </c>
      <c r="G1" s="10" t="s">
        <v>32</v>
      </c>
      <c r="H1" s="10" t="s">
        <v>33</v>
      </c>
      <c r="I1" s="10" t="s">
        <v>34</v>
      </c>
      <c r="J1" s="10" t="s">
        <v>35</v>
      </c>
      <c r="K1" s="10" t="s">
        <v>36</v>
      </c>
      <c r="L1" s="10" t="s">
        <v>37</v>
      </c>
    </row>
    <row r="2" customFormat="false" ht="54" hidden="false" customHeight="true" outlineLevel="0" collapsed="false">
      <c r="A2" s="11" t="n">
        <v>1</v>
      </c>
      <c r="B2" s="11" t="s">
        <v>38</v>
      </c>
      <c r="C2" s="11" t="s">
        <v>39</v>
      </c>
      <c r="D2" s="11" t="s">
        <v>40</v>
      </c>
      <c r="E2" s="12" t="s">
        <v>41</v>
      </c>
      <c r="F2" s="11" t="s">
        <v>42</v>
      </c>
      <c r="G2" s="12" t="s">
        <v>43</v>
      </c>
      <c r="H2" s="13" t="s">
        <v>44</v>
      </c>
      <c r="I2" s="13"/>
      <c r="J2" s="13"/>
      <c r="K2" s="13"/>
      <c r="L2" s="13"/>
    </row>
    <row r="3" customFormat="false" ht="54" hidden="false" customHeight="true" outlineLevel="0" collapsed="false">
      <c r="A3" s="11" t="n">
        <v>2</v>
      </c>
      <c r="B3" s="11" t="s">
        <v>45</v>
      </c>
      <c r="C3" s="11" t="s">
        <v>46</v>
      </c>
      <c r="D3" s="11" t="s">
        <v>47</v>
      </c>
      <c r="E3" s="12" t="s">
        <v>48</v>
      </c>
      <c r="F3" s="11" t="s">
        <v>49</v>
      </c>
      <c r="G3" s="12" t="s">
        <v>50</v>
      </c>
      <c r="H3" s="13" t="s">
        <v>44</v>
      </c>
      <c r="I3" s="13"/>
      <c r="J3" s="13"/>
      <c r="K3" s="13"/>
      <c r="L3" s="13"/>
    </row>
    <row r="4" customFormat="false" ht="54" hidden="false" customHeight="true" outlineLevel="0" collapsed="false">
      <c r="A4" s="11" t="n">
        <v>3</v>
      </c>
      <c r="B4" s="11" t="s">
        <v>51</v>
      </c>
      <c r="C4" s="11" t="s">
        <v>52</v>
      </c>
      <c r="D4" s="11" t="s">
        <v>53</v>
      </c>
      <c r="E4" s="12" t="s">
        <v>41</v>
      </c>
      <c r="F4" s="11" t="s">
        <v>54</v>
      </c>
      <c r="G4" s="12" t="s">
        <v>55</v>
      </c>
      <c r="H4" s="13" t="s">
        <v>44</v>
      </c>
      <c r="I4" s="13"/>
      <c r="J4" s="13"/>
      <c r="K4" s="13"/>
      <c r="L4" s="13"/>
    </row>
    <row r="5" customFormat="false" ht="54" hidden="false" customHeight="true" outlineLevel="0" collapsed="false">
      <c r="A5" s="11" t="n">
        <v>4</v>
      </c>
      <c r="B5" s="11" t="s">
        <v>56</v>
      </c>
      <c r="C5" s="11" t="s">
        <v>57</v>
      </c>
      <c r="D5" s="11" t="s">
        <v>58</v>
      </c>
      <c r="E5" s="12" t="s">
        <v>48</v>
      </c>
      <c r="F5" s="11" t="s">
        <v>59</v>
      </c>
      <c r="G5" s="12" t="s">
        <v>50</v>
      </c>
      <c r="H5" s="13" t="s">
        <v>44</v>
      </c>
      <c r="I5" s="13"/>
      <c r="J5" s="13"/>
      <c r="K5" s="13"/>
      <c r="L5" s="13"/>
    </row>
    <row r="6" customFormat="false" ht="54" hidden="false" customHeight="true" outlineLevel="0" collapsed="false">
      <c r="A6" s="11" t="n">
        <v>5</v>
      </c>
      <c r="B6" s="11" t="s">
        <v>60</v>
      </c>
      <c r="C6" s="11" t="s">
        <v>61</v>
      </c>
      <c r="D6" s="11" t="s">
        <v>62</v>
      </c>
      <c r="E6" s="12" t="s">
        <v>48</v>
      </c>
      <c r="F6" s="11" t="s">
        <v>63</v>
      </c>
      <c r="G6" s="12" t="s">
        <v>64</v>
      </c>
      <c r="H6" s="13" t="s">
        <v>44</v>
      </c>
      <c r="I6" s="13"/>
      <c r="J6" s="13"/>
      <c r="K6" s="13"/>
      <c r="L6" s="13"/>
    </row>
    <row r="7" customFormat="false" ht="54" hidden="false" customHeight="true" outlineLevel="0" collapsed="false">
      <c r="A7" s="11" t="n">
        <v>6</v>
      </c>
      <c r="B7" s="11" t="s">
        <v>65</v>
      </c>
      <c r="C7" s="11" t="s">
        <v>66</v>
      </c>
      <c r="D7" s="11" t="s">
        <v>67</v>
      </c>
      <c r="E7" s="12" t="s">
        <v>48</v>
      </c>
      <c r="F7" s="11" t="s">
        <v>68</v>
      </c>
      <c r="G7" s="12" t="s">
        <v>69</v>
      </c>
      <c r="H7" s="13" t="s">
        <v>44</v>
      </c>
      <c r="I7" s="13"/>
      <c r="J7" s="13"/>
      <c r="K7" s="13"/>
      <c r="L7" s="13"/>
    </row>
    <row r="8" customFormat="false" ht="54" hidden="false" customHeight="true" outlineLevel="0" collapsed="false">
      <c r="A8" s="11" t="n">
        <v>7</v>
      </c>
      <c r="B8" s="11" t="s">
        <v>70</v>
      </c>
      <c r="C8" s="11" t="s">
        <v>71</v>
      </c>
      <c r="D8" s="11" t="s">
        <v>72</v>
      </c>
      <c r="E8" s="14" t="s">
        <v>73</v>
      </c>
      <c r="F8" s="11" t="s">
        <v>74</v>
      </c>
      <c r="G8" s="14" t="s">
        <v>75</v>
      </c>
      <c r="H8" s="13" t="s">
        <v>76</v>
      </c>
      <c r="I8" s="13"/>
      <c r="J8" s="13"/>
      <c r="K8" s="13"/>
      <c r="L8" s="13"/>
    </row>
    <row r="9" customFormat="false" ht="54" hidden="false" customHeight="true" outlineLevel="0" collapsed="false">
      <c r="A9" s="11" t="n">
        <v>8</v>
      </c>
      <c r="B9" s="11" t="s">
        <v>77</v>
      </c>
      <c r="C9" s="11" t="s">
        <v>78</v>
      </c>
      <c r="D9" s="11" t="s">
        <v>79</v>
      </c>
      <c r="E9" s="14" t="s">
        <v>73</v>
      </c>
      <c r="F9" s="11" t="s">
        <v>80</v>
      </c>
      <c r="G9" s="14" t="s">
        <v>81</v>
      </c>
      <c r="H9" s="13" t="s">
        <v>76</v>
      </c>
      <c r="I9" s="13"/>
      <c r="J9" s="13"/>
      <c r="K9" s="13"/>
      <c r="L9" s="13"/>
    </row>
    <row r="10" customFormat="false" ht="54" hidden="false" customHeight="true" outlineLevel="0" collapsed="false">
      <c r="A10" s="11" t="n">
        <v>9</v>
      </c>
      <c r="B10" s="11" t="s">
        <v>82</v>
      </c>
      <c r="C10" s="11" t="s">
        <v>83</v>
      </c>
      <c r="D10" s="11" t="s">
        <v>84</v>
      </c>
      <c r="E10" s="12" t="s">
        <v>85</v>
      </c>
      <c r="F10" s="11" t="s">
        <v>74</v>
      </c>
      <c r="G10" s="12" t="s">
        <v>86</v>
      </c>
      <c r="H10" s="13" t="s">
        <v>44</v>
      </c>
      <c r="I10" s="13"/>
      <c r="J10" s="13"/>
      <c r="K10" s="13"/>
      <c r="L10" s="13"/>
    </row>
    <row r="11" customFormat="false" ht="54" hidden="false" customHeight="true" outlineLevel="0" collapsed="false">
      <c r="A11" s="11" t="n">
        <v>10</v>
      </c>
      <c r="B11" s="11" t="s">
        <v>87</v>
      </c>
      <c r="C11" s="11" t="s">
        <v>88</v>
      </c>
      <c r="D11" s="11" t="s">
        <v>89</v>
      </c>
      <c r="E11" s="12" t="s">
        <v>48</v>
      </c>
      <c r="F11" s="11" t="s">
        <v>90</v>
      </c>
      <c r="G11" s="12" t="s">
        <v>91</v>
      </c>
      <c r="H11" s="13" t="s">
        <v>44</v>
      </c>
      <c r="I11" s="13"/>
      <c r="J11" s="13"/>
      <c r="K11" s="13"/>
      <c r="L11" s="13"/>
    </row>
    <row r="12" customFormat="false" ht="54" hidden="false" customHeight="true" outlineLevel="0" collapsed="false">
      <c r="A12" s="11" t="n">
        <v>11</v>
      </c>
      <c r="B12" s="11" t="s">
        <v>92</v>
      </c>
      <c r="C12" s="11" t="s">
        <v>93</v>
      </c>
      <c r="D12" s="11" t="s">
        <v>94</v>
      </c>
      <c r="E12" s="12" t="s">
        <v>95</v>
      </c>
      <c r="F12" s="11" t="s">
        <v>96</v>
      </c>
      <c r="G12" s="12" t="s">
        <v>97</v>
      </c>
      <c r="H12" s="13" t="s">
        <v>44</v>
      </c>
      <c r="I12" s="13"/>
      <c r="J12" s="13"/>
      <c r="K12" s="13"/>
      <c r="L12" s="13"/>
    </row>
    <row r="13" customFormat="false" ht="54" hidden="false" customHeight="true" outlineLevel="0" collapsed="false">
      <c r="A13" s="11" t="n">
        <v>12</v>
      </c>
      <c r="B13" s="11" t="s">
        <v>98</v>
      </c>
      <c r="C13" s="11" t="s">
        <v>99</v>
      </c>
      <c r="D13" s="11" t="s">
        <v>100</v>
      </c>
      <c r="E13" s="14" t="s">
        <v>101</v>
      </c>
      <c r="F13" s="11" t="s">
        <v>102</v>
      </c>
      <c r="G13" s="14" t="s">
        <v>103</v>
      </c>
      <c r="H13" s="13" t="s">
        <v>76</v>
      </c>
      <c r="I13" s="13"/>
      <c r="J13" s="13"/>
      <c r="K13" s="13"/>
      <c r="L13" s="13"/>
    </row>
  </sheetData>
  <dataValidations count="1">
    <dataValidation allowBlank="true" errorStyle="stop" operator="between" showDropDown="false" showErrorMessage="false" showInputMessage="false" sqref="H2:H13" type="list">
      <formula1>"Confirm,Change,Remove,N/A"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2026-07-15T08:45:30Z</dcterms:created>
  <dc:creator>openpyxl</dc:creator>
  <dc:description/>
  <dc:language>en-US</dc:language>
  <cp:lastModifiedBy/>
  <dcterms:modified xsi:type="dcterms:W3CDTF">2026-07-15T08:45:30Z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